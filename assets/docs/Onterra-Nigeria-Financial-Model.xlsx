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Returns" sheetId="3" state="visible" r:id="rId3"/>
    <sheet name="Scenario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8">
    <numFmt numFmtId="164" formatCode="$#,##0.0;($#,##0.0);&quot;-&quot;"/>
    <numFmt numFmtId="165" formatCode="#,##0;(#,##0);&quot;-&quot;"/>
    <numFmt numFmtId="166" formatCode="0.0%;(0.0%);&quot;-&quot;"/>
    <numFmt numFmtId="167" formatCode="$#,##0.00"/>
    <numFmt numFmtId="168" formatCode="#,##0.0;(#,##0.0);&quot;-&quot;"/>
    <numFmt numFmtId="169" formatCode="0.000"/>
    <numFmt numFmtId="170" formatCode="$#,##0;($#,##0);&quot;-&quot;"/>
    <numFmt numFmtId="171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0B1421"/>
      <sz val="11"/>
    </font>
    <font>
      <name val="Arial"/>
      <color rgb="00000000"/>
      <sz val="10"/>
    </font>
    <font>
      <name val="Arial"/>
      <b val="1"/>
      <color rgb="000000FF"/>
      <sz val="10"/>
    </font>
    <font>
      <name val="Arial"/>
      <i val="1"/>
      <color rgb="00888888"/>
      <sz val="8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B1421"/>
      <sz val="9"/>
    </font>
    <font>
      <name val="Arial"/>
      <color rgb="00008000"/>
      <sz val="9"/>
    </font>
    <font>
      <name val="Arial"/>
      <b val="1"/>
      <color rgb="00000000"/>
      <sz val="11"/>
    </font>
    <font>
      <name val="Arial"/>
      <i val="1"/>
      <color rgb="00555555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B1421"/>
      </patternFill>
    </fill>
    <fill>
      <patternFill patternType="solid">
        <fgColor rgb="000E3A4F"/>
      </patternFill>
    </fill>
    <fill>
      <patternFill patternType="solid">
        <fgColor rgb="00F2A900"/>
      </patternFill>
    </fill>
    <fill>
      <patternFill patternType="solid">
        <fgColor rgb="00FFF8E1"/>
      </patternFill>
    </fill>
    <fill>
      <patternFill patternType="solid">
        <fgColor rgb="00EAF1F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top style="thin"/>
      <bottom style="double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164" fontId="6" fillId="5" borderId="1" applyAlignment="1" pivotButton="0" quotePrefix="0" xfId="0">
      <alignment horizontal="right"/>
    </xf>
    <xf numFmtId="0" fontId="7" fillId="0" borderId="0" pivotButton="0" quotePrefix="0" xfId="0"/>
    <xf numFmtId="165" fontId="6" fillId="5" borderId="1" applyAlignment="1" pivotButton="0" quotePrefix="0" xfId="0">
      <alignment horizontal="right"/>
    </xf>
    <xf numFmtId="0" fontId="8" fillId="0" borderId="0" pivotButton="0" quotePrefix="0" xfId="0"/>
    <xf numFmtId="164" fontId="8" fillId="0" borderId="2" pivotButton="0" quotePrefix="0" xfId="0"/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9" fillId="0" borderId="0" pivotButton="0" quotePrefix="0" xfId="0"/>
    <xf numFmtId="1" fontId="10" fillId="3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horizontal="center"/>
    </xf>
    <xf numFmtId="0" fontId="12" fillId="4" borderId="0" pivotButton="0" quotePrefix="0" xfId="0"/>
    <xf numFmtId="0" fontId="11" fillId="0" borderId="0" applyAlignment="1" pivotButton="0" quotePrefix="0" xfId="0">
      <alignment indent="1"/>
    </xf>
    <xf numFmtId="165" fontId="11" fillId="0" borderId="0" pivotButton="0" quotePrefix="0" xfId="0"/>
    <xf numFmtId="168" fontId="11" fillId="0" borderId="0" pivotButton="0" quotePrefix="0" xfId="0"/>
    <xf numFmtId="167" fontId="13" fillId="0" borderId="0" pivotButton="0" quotePrefix="0" xfId="0"/>
    <xf numFmtId="164" fontId="11" fillId="0" borderId="0" pivotButton="0" quotePrefix="0" xfId="0"/>
    <xf numFmtId="164" fontId="0" fillId="0" borderId="0" pivotButton="0" quotePrefix="0" xfId="0"/>
    <xf numFmtId="164" fontId="9" fillId="0" borderId="0" pivotButton="0" quotePrefix="0" xfId="0"/>
    <xf numFmtId="0" fontId="11" fillId="0" borderId="0" applyAlignment="1" pivotButton="0" quotePrefix="0" xfId="0">
      <alignment indent="2"/>
    </xf>
    <xf numFmtId="169" fontId="0" fillId="0" borderId="0" pivotButton="0" quotePrefix="0" xfId="0"/>
    <xf numFmtId="164" fontId="14" fillId="6" borderId="1" applyAlignment="1" pivotButton="0" quotePrefix="0" xfId="0">
      <alignment horizontal="right"/>
    </xf>
    <xf numFmtId="170" fontId="14" fillId="6" borderId="1" applyAlignment="1" pivotButton="0" quotePrefix="0" xfId="0">
      <alignment horizontal="right"/>
    </xf>
    <xf numFmtId="166" fontId="14" fillId="6" borderId="1" applyAlignment="1" pivotButton="0" quotePrefix="0" xfId="0">
      <alignment horizontal="right"/>
    </xf>
    <xf numFmtId="168" fontId="14" fillId="6" borderId="1" applyAlignment="1" pivotButton="0" quotePrefix="0" xfId="0">
      <alignment horizontal="right"/>
    </xf>
    <xf numFmtId="165" fontId="14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1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7" fontId="16" fillId="3" borderId="0" applyAlignment="1" pivotButton="0" quotePrefix="0" xfId="0">
      <alignment horizontal="center"/>
    </xf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2" ht="30" customHeight="1">
      <c r="B2" s="1" t="inlineStr">
        <is>
          <t>ONTERRA NIGERIA LIMITED  |  Marginal Field Financial Model</t>
        </is>
      </c>
      <c r="C2" s="2" t="n"/>
      <c r="D2" s="2" t="n"/>
      <c r="E2" s="2" t="n"/>
    </row>
    <row r="3" ht="16" customHeight="1">
      <c r="B3" s="3" t="inlineStr">
        <is>
          <t>Idea to First Oil  ·  Investor economics under PIA 2021  ·  Base case (editable inputs in blue)</t>
        </is>
      </c>
      <c r="C3" s="4" t="n"/>
      <c r="D3" s="4" t="n"/>
      <c r="E3" s="4" t="n"/>
    </row>
    <row r="5" ht="20" customHeight="1">
      <c r="B5" s="5" t="inlineStr">
        <is>
          <t>1 · CAPITAL COST TO FIRST OIL  ($ million)</t>
        </is>
      </c>
      <c r="C5" s="6" t="n"/>
      <c r="D5" s="6" t="n"/>
      <c r="E5" s="6" t="n"/>
    </row>
    <row r="6">
      <c r="B6" s="7" t="inlineStr">
        <is>
          <t xml:space="preserve">   License &amp; field acquisition</t>
        </is>
      </c>
      <c r="C6" s="8" t="n">
        <v>8.5</v>
      </c>
      <c r="E6" s="9" t="inlineStr">
        <is>
          <t>Typical $7-10m for a Nigerian marginal field</t>
        </is>
      </c>
    </row>
    <row r="7">
      <c r="B7" s="7" t="inlineStr">
        <is>
          <t xml:space="preserve">   3D seismic &amp; subsurface evaluation</t>
        </is>
      </c>
      <c r="C7" s="8" t="n">
        <v>1.5</v>
      </c>
      <c r="E7" s="9" t="inlineStr">
        <is>
          <t>3D seismic to confirm where the oil is</t>
        </is>
      </c>
    </row>
    <row r="8">
      <c r="B8" s="7" t="inlineStr">
        <is>
          <t xml:space="preserve">   Drilling &amp; completion (per well)</t>
        </is>
      </c>
      <c r="C8" s="8" t="n">
        <v>10</v>
      </c>
      <c r="E8" s="9" t="inlineStr">
        <is>
          <t>Land ~$7-10m; shallow offshore up to ~$15m</t>
        </is>
      </c>
    </row>
    <row r="9">
      <c r="B9" s="7" t="inlineStr">
        <is>
          <t xml:space="preserve">   Topsides / surface facilities</t>
        </is>
      </c>
      <c r="C9" s="8" t="n">
        <v>10</v>
      </c>
      <c r="E9" s="9" t="inlineStr">
        <is>
          <t>Separators, tanks, flare, gensets, manifolds</t>
        </is>
      </c>
    </row>
    <row r="10">
      <c r="B10" s="7" t="inlineStr">
        <is>
          <t xml:space="preserve">   Evacuation / flowlines / export</t>
        </is>
      </c>
      <c r="C10" s="8" t="n">
        <v>7</v>
      </c>
      <c r="E10" s="9" t="inlineStr">
        <is>
          <t>Flowline, trucking or barging to sales point</t>
        </is>
      </c>
    </row>
    <row r="11">
      <c r="B11" s="7" t="inlineStr">
        <is>
          <t xml:space="preserve">   Engineering, PM &amp; owner's costs</t>
        </is>
      </c>
      <c r="C11" s="8" t="n">
        <v>4</v>
      </c>
      <c r="E11" s="9" t="inlineStr">
        <is>
          <t>FEED, project management, owner team</t>
        </is>
      </c>
    </row>
    <row r="12">
      <c r="B12" s="7" t="inlineStr">
        <is>
          <t xml:space="preserve">   Pre-first-oil G&amp;A &amp; working capital</t>
        </is>
      </c>
      <c r="C12" s="8" t="n">
        <v>3</v>
      </c>
      <c r="E12" s="9" t="inlineStr">
        <is>
          <t>Carrying costs before production</t>
        </is>
      </c>
    </row>
    <row r="13">
      <c r="B13" s="7" t="inlineStr">
        <is>
          <t xml:space="preserve">   Contingency</t>
        </is>
      </c>
      <c r="C13" s="8" t="n">
        <v>6</v>
      </c>
      <c r="E13" s="9" t="inlineStr">
        <is>
          <t>~15% of base estimate</t>
        </is>
      </c>
    </row>
    <row r="14">
      <c r="B14" s="7" t="inlineStr">
        <is>
          <t xml:space="preserve">   Number of development wells</t>
        </is>
      </c>
      <c r="C14" s="10" t="n">
        <v>1</v>
      </c>
      <c r="E14" s="9" t="inlineStr">
        <is>
          <t>Drilling cost scales with well count</t>
        </is>
      </c>
    </row>
    <row r="15">
      <c r="B15" s="11" t="inlineStr">
        <is>
          <t>TOTAL CAPITAL TO FIRST OIL</t>
        </is>
      </c>
      <c r="C15" s="12">
        <f>C8*Inputs!C14+C6+C7+C9+C10+C11+C12+C13</f>
        <v/>
      </c>
    </row>
    <row r="17" ht="20" customHeight="1">
      <c r="B17" s="5" t="inlineStr">
        <is>
          <t>2 · CAPEX PHASING &amp; PRODUCTION</t>
        </is>
      </c>
      <c r="C17" s="6" t="n"/>
      <c r="D17" s="6" t="n"/>
      <c r="E17" s="6" t="n"/>
    </row>
    <row r="18">
      <c r="B18" s="7" t="inlineStr">
        <is>
          <t xml:space="preserve">   Capex spent in Development Year 1</t>
        </is>
      </c>
      <c r="C18" s="13" t="n">
        <v>0.4</v>
      </c>
      <c r="E18" s="9" t="inlineStr">
        <is>
          <t>Balance spent in Year 2</t>
        </is>
      </c>
    </row>
    <row r="19">
      <c r="B19" s="7" t="inlineStr">
        <is>
          <t xml:space="preserve">   First oil in project year</t>
        </is>
      </c>
      <c r="C19" s="10" t="n">
        <v>3</v>
      </c>
      <c r="E19" s="9" t="inlineStr">
        <is>
          <t>Years 1-2 are development</t>
        </is>
      </c>
    </row>
    <row r="20">
      <c r="B20" s="7" t="inlineStr">
        <is>
          <t xml:space="preserve">   Plateau production rate (per well)</t>
        </is>
      </c>
      <c r="C20" s="10" t="n">
        <v>3000</v>
      </c>
      <c r="E20" s="9" t="inlineStr">
        <is>
          <t>bopd</t>
        </is>
      </c>
    </row>
    <row r="21">
      <c r="B21" s="7" t="inlineStr">
        <is>
          <t xml:space="preserve">   Year-1 production (ramp-up)</t>
        </is>
      </c>
      <c r="C21" s="13" t="n">
        <v>0.7</v>
      </c>
      <c r="E21" s="9" t="inlineStr">
        <is>
          <t>Share of plateau in first oil year</t>
        </is>
      </c>
    </row>
    <row r="22">
      <c r="B22" s="7" t="inlineStr">
        <is>
          <t xml:space="preserve">   Plateau length</t>
        </is>
      </c>
      <c r="C22" s="10" t="n">
        <v>12</v>
      </c>
      <c r="E22" s="9" t="inlineStr">
        <is>
          <t>years</t>
        </is>
      </c>
    </row>
    <row r="23">
      <c r="B23" s="7" t="inlineStr">
        <is>
          <t xml:space="preserve">   Annual decline after plateau</t>
        </is>
      </c>
      <c r="C23" s="13" t="n">
        <v>0.08</v>
      </c>
      <c r="E23" s="9" t="inlineStr">
        <is>
          <t>Exponential decline</t>
        </is>
      </c>
    </row>
    <row r="24">
      <c r="B24" s="7" t="inlineStr">
        <is>
          <t xml:space="preserve">   Days per year</t>
        </is>
      </c>
      <c r="C24" s="10" t="n">
        <v>365</v>
      </c>
    </row>
    <row r="25">
      <c r="B25" s="7" t="inlineStr">
        <is>
          <t xml:space="preserve">   Field life (production years)</t>
        </is>
      </c>
      <c r="C25" s="10" t="n">
        <v>23</v>
      </c>
      <c r="E25" s="9" t="inlineStr">
        <is>
          <t>Typical 20-25 years</t>
        </is>
      </c>
    </row>
    <row r="27" ht="20" customHeight="1">
      <c r="B27" s="5" t="inlineStr">
        <is>
          <t>3 · PRICE, OPEX &amp; DISCOUNTING</t>
        </is>
      </c>
      <c r="C27" s="6" t="n"/>
      <c r="D27" s="6" t="n"/>
      <c r="E27" s="6" t="n"/>
    </row>
    <row r="28">
      <c r="B28" s="7" t="inlineStr">
        <is>
          <t xml:space="preserve">   Oil price (flat, base case)</t>
        </is>
      </c>
      <c r="C28" s="14" t="n">
        <v>75</v>
      </c>
      <c r="E28" s="9" t="inlineStr">
        <is>
          <t>$/bbl realised</t>
        </is>
      </c>
    </row>
    <row r="29">
      <c r="B29" s="7" t="inlineStr">
        <is>
          <t xml:space="preserve">   Variable operating cost</t>
        </is>
      </c>
      <c r="C29" s="14" t="n">
        <v>20</v>
      </c>
      <c r="E29" s="9" t="inlineStr">
        <is>
          <t>$/bbl</t>
        </is>
      </c>
    </row>
    <row r="30">
      <c r="B30" s="7" t="inlineStr">
        <is>
          <t xml:space="preserve">   Fixed operating cost</t>
        </is>
      </c>
      <c r="C30" s="8" t="n">
        <v>8</v>
      </c>
      <c r="E30" s="9" t="inlineStr">
        <is>
          <t>$m per production year</t>
        </is>
      </c>
    </row>
    <row r="31">
      <c r="B31" s="7" t="inlineStr">
        <is>
          <t xml:space="preserve">   Investor discount rate</t>
        </is>
      </c>
      <c r="C31" s="13" t="n">
        <v>0.1</v>
      </c>
      <c r="E31" s="9" t="inlineStr">
        <is>
          <t>For NPV</t>
        </is>
      </c>
    </row>
    <row r="33" ht="20" customHeight="1">
      <c r="B33" s="5" t="inlineStr">
        <is>
          <t>4 · FISCAL TERMS (PIA 2021) — confirm with tax adviser</t>
        </is>
      </c>
      <c r="C33" s="6" t="n"/>
      <c r="D33" s="6" t="n"/>
      <c r="E33" s="6" t="n"/>
    </row>
    <row r="34">
      <c r="B34" s="7" t="inlineStr">
        <is>
          <t xml:space="preserve">   Production royalty</t>
        </is>
      </c>
      <c r="C34" s="13" t="n">
        <v>0.15</v>
      </c>
      <c r="E34" s="9" t="inlineStr">
        <is>
          <t>Onshore 15%; shallow water 12.5%</t>
        </is>
      </c>
    </row>
    <row r="35">
      <c r="B35" s="7" t="inlineStr">
        <is>
          <t xml:space="preserve">   Price-based royalty</t>
        </is>
      </c>
      <c r="C35" s="13" t="n">
        <v>0.05</v>
      </c>
      <c r="E35" s="9" t="inlineStr">
        <is>
          <t>PIA: 0% at &lt;=$50/bbl, sliding up</t>
        </is>
      </c>
    </row>
    <row r="36">
      <c r="B36" s="7" t="inlineStr">
        <is>
          <t xml:space="preserve">   Hydrocarbon tax (HT)</t>
        </is>
      </c>
      <c r="C36" s="13" t="n">
        <v>0.3</v>
      </c>
      <c r="E36" s="9" t="inlineStr">
        <is>
          <t>PIA onshore/shallow PML</t>
        </is>
      </c>
    </row>
    <row r="37">
      <c r="B37" s="7" t="inlineStr">
        <is>
          <t xml:space="preserve">   Companies income tax (CIT)</t>
        </is>
      </c>
      <c r="C37" s="13" t="n">
        <v>0.3</v>
      </c>
      <c r="E37" s="9" t="inlineStr">
        <is>
          <t>PIA: applied after HT</t>
        </is>
      </c>
    </row>
    <row r="38">
      <c r="B38" s="7" t="inlineStr">
        <is>
          <t xml:space="preserve">   Capital allowance period</t>
        </is>
      </c>
      <c r="C38" s="10" t="n">
        <v>5</v>
      </c>
      <c r="E38" s="9" t="inlineStr">
        <is>
          <t>years, straight-line</t>
        </is>
      </c>
    </row>
    <row r="40" ht="20" customHeight="1">
      <c r="B40" s="5" t="inlineStr">
        <is>
          <t>5 · COMMERCIAL STRUCTURE (Onterra as operator)</t>
        </is>
      </c>
      <c r="C40" s="6" t="n"/>
      <c r="D40" s="6" t="n"/>
      <c r="E40" s="6" t="n"/>
    </row>
    <row r="41">
      <c r="B41" s="7" t="inlineStr">
        <is>
          <t xml:space="preserve">   Cost-recovery share to investor</t>
        </is>
      </c>
      <c r="C41" s="13" t="n">
        <v>0.8</v>
      </c>
      <c r="E41" s="9" t="inlineStr">
        <is>
          <t>Repays the invested capital first</t>
        </is>
      </c>
    </row>
    <row r="42">
      <c r="B42" s="7" t="inlineStr">
        <is>
          <t xml:space="preserve">   Cost-recovery incentive to Onterra</t>
        </is>
      </c>
      <c r="C42" s="13" t="n">
        <v>0.2</v>
      </c>
      <c r="E42" s="9" t="inlineStr">
        <is>
          <t>Operator incentive during recovery</t>
        </is>
      </c>
    </row>
    <row r="43">
      <c r="B43" s="7" t="inlineStr">
        <is>
          <t xml:space="preserve">   Post-recovery profit to investor</t>
        </is>
      </c>
      <c r="C43" s="13" t="n">
        <v>0.6</v>
      </c>
      <c r="E43" s="9" t="inlineStr">
        <is>
          <t>Investor share after payback</t>
        </is>
      </c>
    </row>
    <row r="44">
      <c r="B44" s="7" t="inlineStr">
        <is>
          <t xml:space="preserve">   Post-recovery profit to Onterra</t>
        </is>
      </c>
      <c r="C44" s="13" t="n">
        <v>0.4</v>
      </c>
      <c r="E44" s="9" t="inlineStr">
        <is>
          <t>Operator promote after payback</t>
        </is>
      </c>
    </row>
  </sheetData>
  <mergeCells count="7">
    <mergeCell ref="B17:E17"/>
    <mergeCell ref="B27:E27"/>
    <mergeCell ref="B40:E40"/>
    <mergeCell ref="B33:E33"/>
    <mergeCell ref="B3:E3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4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2" ht="30" customHeight="1">
      <c r="B2" s="1" t="inlineStr">
        <is>
          <t>ANNUAL MODEL  ($ million unless stated)</t>
        </is>
      </c>
      <c r="C2" s="2" t="n"/>
      <c r="D2" s="2" t="n"/>
      <c r="E2" s="2" t="n"/>
    </row>
    <row r="3" ht="16" customHeight="1">
      <c r="B3" s="3" t="inlineStr">
        <is>
          <t>Live formulas — Excel recalculates on open. Black = formula, green = from Inputs.</t>
        </is>
      </c>
      <c r="C3" s="4" t="n"/>
      <c r="D3" s="4" t="n"/>
      <c r="E3" s="4" t="n"/>
    </row>
    <row r="5">
      <c r="A5" s="15" t="inlineStr">
        <is>
          <t>Project year</t>
        </is>
      </c>
      <c r="B5" s="16" t="n">
        <v>1</v>
      </c>
      <c r="C5" s="16" t="n">
        <v>2</v>
      </c>
      <c r="D5" s="16" t="n">
        <v>3</v>
      </c>
      <c r="E5" s="16" t="n">
        <v>4</v>
      </c>
      <c r="F5" s="16" t="n">
        <v>5</v>
      </c>
      <c r="G5" s="16" t="n">
        <v>6</v>
      </c>
      <c r="H5" s="16" t="n">
        <v>7</v>
      </c>
      <c r="I5" s="16" t="n">
        <v>8</v>
      </c>
      <c r="J5" s="16" t="n">
        <v>9</v>
      </c>
      <c r="K5" s="16" t="n">
        <v>10</v>
      </c>
      <c r="L5" s="16" t="n">
        <v>11</v>
      </c>
      <c r="M5" s="16" t="n">
        <v>12</v>
      </c>
      <c r="N5" s="16" t="n">
        <v>13</v>
      </c>
      <c r="O5" s="16" t="n">
        <v>14</v>
      </c>
      <c r="P5" s="16" t="n">
        <v>15</v>
      </c>
      <c r="Q5" s="16" t="n">
        <v>16</v>
      </c>
      <c r="R5" s="16" t="n">
        <v>17</v>
      </c>
      <c r="S5" s="16" t="n">
        <v>18</v>
      </c>
      <c r="T5" s="16" t="n">
        <v>19</v>
      </c>
      <c r="U5" s="16" t="n">
        <v>20</v>
      </c>
      <c r="V5" s="16" t="n">
        <v>21</v>
      </c>
      <c r="W5" s="16" t="n">
        <v>22</v>
      </c>
      <c r="X5" s="16" t="n">
        <v>23</v>
      </c>
      <c r="Y5" s="16" t="n">
        <v>24</v>
      </c>
      <c r="Z5" s="16" t="n">
        <v>25</v>
      </c>
    </row>
    <row r="6">
      <c r="A6" s="17" t="inlineStr">
        <is>
          <t>Phase</t>
        </is>
      </c>
      <c r="B6" s="18">
        <f>IF(B5&lt;Inputs!C19,"Develop",IF(B5&lt;Inputs!C19+Inputs!C25,"Produce","-"))</f>
        <v/>
      </c>
      <c r="C6" s="18">
        <f>IF(C5&lt;Inputs!C19,"Develop",IF(C5&lt;Inputs!C19+Inputs!C25,"Produce","-"))</f>
        <v/>
      </c>
      <c r="D6" s="18">
        <f>IF(D5&lt;Inputs!C19,"Develop",IF(D5&lt;Inputs!C19+Inputs!C25,"Produce","-"))</f>
        <v/>
      </c>
      <c r="E6" s="18">
        <f>IF(E5&lt;Inputs!C19,"Develop",IF(E5&lt;Inputs!C19+Inputs!C25,"Produce","-"))</f>
        <v/>
      </c>
      <c r="F6" s="18">
        <f>IF(F5&lt;Inputs!C19,"Develop",IF(F5&lt;Inputs!C19+Inputs!C25,"Produce","-"))</f>
        <v/>
      </c>
      <c r="G6" s="18">
        <f>IF(G5&lt;Inputs!C19,"Develop",IF(G5&lt;Inputs!C19+Inputs!C25,"Produce","-"))</f>
        <v/>
      </c>
      <c r="H6" s="18">
        <f>IF(H5&lt;Inputs!C19,"Develop",IF(H5&lt;Inputs!C19+Inputs!C25,"Produce","-"))</f>
        <v/>
      </c>
      <c r="I6" s="18">
        <f>IF(I5&lt;Inputs!C19,"Develop",IF(I5&lt;Inputs!C19+Inputs!C25,"Produce","-"))</f>
        <v/>
      </c>
      <c r="J6" s="18">
        <f>IF(J5&lt;Inputs!C19,"Develop",IF(J5&lt;Inputs!C19+Inputs!C25,"Produce","-"))</f>
        <v/>
      </c>
      <c r="K6" s="18">
        <f>IF(K5&lt;Inputs!C19,"Develop",IF(K5&lt;Inputs!C19+Inputs!C25,"Produce","-"))</f>
        <v/>
      </c>
      <c r="L6" s="18">
        <f>IF(L5&lt;Inputs!C19,"Develop",IF(L5&lt;Inputs!C19+Inputs!C25,"Produce","-"))</f>
        <v/>
      </c>
      <c r="M6" s="18">
        <f>IF(M5&lt;Inputs!C19,"Develop",IF(M5&lt;Inputs!C19+Inputs!C25,"Produce","-"))</f>
        <v/>
      </c>
      <c r="N6" s="18">
        <f>IF(N5&lt;Inputs!C19,"Develop",IF(N5&lt;Inputs!C19+Inputs!C25,"Produce","-"))</f>
        <v/>
      </c>
      <c r="O6" s="18">
        <f>IF(O5&lt;Inputs!C19,"Develop",IF(O5&lt;Inputs!C19+Inputs!C25,"Produce","-"))</f>
        <v/>
      </c>
      <c r="P6" s="18">
        <f>IF(P5&lt;Inputs!C19,"Develop",IF(P5&lt;Inputs!C19+Inputs!C25,"Produce","-"))</f>
        <v/>
      </c>
      <c r="Q6" s="18">
        <f>IF(Q5&lt;Inputs!C19,"Develop",IF(Q5&lt;Inputs!C19+Inputs!C25,"Produce","-"))</f>
        <v/>
      </c>
      <c r="R6" s="18">
        <f>IF(R5&lt;Inputs!C19,"Develop",IF(R5&lt;Inputs!C19+Inputs!C25,"Produce","-"))</f>
        <v/>
      </c>
      <c r="S6" s="18">
        <f>IF(S5&lt;Inputs!C19,"Develop",IF(S5&lt;Inputs!C19+Inputs!C25,"Produce","-"))</f>
        <v/>
      </c>
      <c r="T6" s="18">
        <f>IF(T5&lt;Inputs!C19,"Develop",IF(T5&lt;Inputs!C19+Inputs!C25,"Produce","-"))</f>
        <v/>
      </c>
      <c r="U6" s="18">
        <f>IF(U5&lt;Inputs!C19,"Develop",IF(U5&lt;Inputs!C19+Inputs!C25,"Produce","-"))</f>
        <v/>
      </c>
      <c r="V6" s="18">
        <f>IF(V5&lt;Inputs!C19,"Develop",IF(V5&lt;Inputs!C19+Inputs!C25,"Produce","-"))</f>
        <v/>
      </c>
      <c r="W6" s="18">
        <f>IF(W5&lt;Inputs!C19,"Develop",IF(W5&lt;Inputs!C19+Inputs!C25,"Produce","-"))</f>
        <v/>
      </c>
      <c r="X6" s="18">
        <f>IF(X5&lt;Inputs!C19,"Develop",IF(X5&lt;Inputs!C19+Inputs!C25,"Produce","-"))</f>
        <v/>
      </c>
      <c r="Y6" s="18">
        <f>IF(Y5&lt;Inputs!C19,"Develop",IF(Y5&lt;Inputs!C19+Inputs!C25,"Produce","-"))</f>
        <v/>
      </c>
      <c r="Z6" s="18">
        <f>IF(Z5&lt;Inputs!C19,"Develop",IF(Z5&lt;Inputs!C19+Inputs!C25,"Produce","-"))</f>
        <v/>
      </c>
    </row>
    <row r="8">
      <c r="A8" s="19" t="inlineStr">
        <is>
          <t>PRODUCTION &amp; REVENUE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20" t="inlineStr">
        <is>
          <t>Production rate (bopd)</t>
        </is>
      </c>
      <c r="B9" s="21">
        <f>IF(B5&lt;Inputs!C19,0,IF(B5=Inputs!C19,Inputs!C20*Inputs!C21*Inputs!C14,IF(B5&lt;Inputs!C19+Inputs!C22,Inputs!C20*Inputs!C14,IF(B5&lt;Inputs!C19+Inputs!C25,0*(1-Inputs!C23),0))))</f>
        <v/>
      </c>
      <c r="C9" s="21">
        <f>IF(C5&lt;Inputs!C19,0,IF(C5=Inputs!C19,Inputs!C20*Inputs!C21*Inputs!C14,IF(C5&lt;Inputs!C19+Inputs!C22,Inputs!C20*Inputs!C14,IF(C5&lt;Inputs!C19+Inputs!C25,B9*(1-Inputs!C23),0))))</f>
        <v/>
      </c>
      <c r="D9" s="21">
        <f>IF(D5&lt;Inputs!C19,0,IF(D5=Inputs!C19,Inputs!C20*Inputs!C21*Inputs!C14,IF(D5&lt;Inputs!C19+Inputs!C22,Inputs!C20*Inputs!C14,IF(D5&lt;Inputs!C19+Inputs!C25,C9*(1-Inputs!C23),0))))</f>
        <v/>
      </c>
      <c r="E9" s="21">
        <f>IF(E5&lt;Inputs!C19,0,IF(E5=Inputs!C19,Inputs!C20*Inputs!C21*Inputs!C14,IF(E5&lt;Inputs!C19+Inputs!C22,Inputs!C20*Inputs!C14,IF(E5&lt;Inputs!C19+Inputs!C25,D9*(1-Inputs!C23),0))))</f>
        <v/>
      </c>
      <c r="F9" s="21">
        <f>IF(F5&lt;Inputs!C19,0,IF(F5=Inputs!C19,Inputs!C20*Inputs!C21*Inputs!C14,IF(F5&lt;Inputs!C19+Inputs!C22,Inputs!C20*Inputs!C14,IF(F5&lt;Inputs!C19+Inputs!C25,E9*(1-Inputs!C23),0))))</f>
        <v/>
      </c>
      <c r="G9" s="21">
        <f>IF(G5&lt;Inputs!C19,0,IF(G5=Inputs!C19,Inputs!C20*Inputs!C21*Inputs!C14,IF(G5&lt;Inputs!C19+Inputs!C22,Inputs!C20*Inputs!C14,IF(G5&lt;Inputs!C19+Inputs!C25,F9*(1-Inputs!C23),0))))</f>
        <v/>
      </c>
      <c r="H9" s="21">
        <f>IF(H5&lt;Inputs!C19,0,IF(H5=Inputs!C19,Inputs!C20*Inputs!C21*Inputs!C14,IF(H5&lt;Inputs!C19+Inputs!C22,Inputs!C20*Inputs!C14,IF(H5&lt;Inputs!C19+Inputs!C25,G9*(1-Inputs!C23),0))))</f>
        <v/>
      </c>
      <c r="I9" s="21">
        <f>IF(I5&lt;Inputs!C19,0,IF(I5=Inputs!C19,Inputs!C20*Inputs!C21*Inputs!C14,IF(I5&lt;Inputs!C19+Inputs!C22,Inputs!C20*Inputs!C14,IF(I5&lt;Inputs!C19+Inputs!C25,H9*(1-Inputs!C23),0))))</f>
        <v/>
      </c>
      <c r="J9" s="21">
        <f>IF(J5&lt;Inputs!C19,0,IF(J5=Inputs!C19,Inputs!C20*Inputs!C21*Inputs!C14,IF(J5&lt;Inputs!C19+Inputs!C22,Inputs!C20*Inputs!C14,IF(J5&lt;Inputs!C19+Inputs!C25,I9*(1-Inputs!C23),0))))</f>
        <v/>
      </c>
      <c r="K9" s="21">
        <f>IF(K5&lt;Inputs!C19,0,IF(K5=Inputs!C19,Inputs!C20*Inputs!C21*Inputs!C14,IF(K5&lt;Inputs!C19+Inputs!C22,Inputs!C20*Inputs!C14,IF(K5&lt;Inputs!C19+Inputs!C25,J9*(1-Inputs!C23),0))))</f>
        <v/>
      </c>
      <c r="L9" s="21">
        <f>IF(L5&lt;Inputs!C19,0,IF(L5=Inputs!C19,Inputs!C20*Inputs!C21*Inputs!C14,IF(L5&lt;Inputs!C19+Inputs!C22,Inputs!C20*Inputs!C14,IF(L5&lt;Inputs!C19+Inputs!C25,K9*(1-Inputs!C23),0))))</f>
        <v/>
      </c>
      <c r="M9" s="21">
        <f>IF(M5&lt;Inputs!C19,0,IF(M5=Inputs!C19,Inputs!C20*Inputs!C21*Inputs!C14,IF(M5&lt;Inputs!C19+Inputs!C22,Inputs!C20*Inputs!C14,IF(M5&lt;Inputs!C19+Inputs!C25,L9*(1-Inputs!C23),0))))</f>
        <v/>
      </c>
      <c r="N9" s="21">
        <f>IF(N5&lt;Inputs!C19,0,IF(N5=Inputs!C19,Inputs!C20*Inputs!C21*Inputs!C14,IF(N5&lt;Inputs!C19+Inputs!C22,Inputs!C20*Inputs!C14,IF(N5&lt;Inputs!C19+Inputs!C25,M9*(1-Inputs!C23),0))))</f>
        <v/>
      </c>
      <c r="O9" s="21">
        <f>IF(O5&lt;Inputs!C19,0,IF(O5=Inputs!C19,Inputs!C20*Inputs!C21*Inputs!C14,IF(O5&lt;Inputs!C19+Inputs!C22,Inputs!C20*Inputs!C14,IF(O5&lt;Inputs!C19+Inputs!C25,N9*(1-Inputs!C23),0))))</f>
        <v/>
      </c>
      <c r="P9" s="21">
        <f>IF(P5&lt;Inputs!C19,0,IF(P5=Inputs!C19,Inputs!C20*Inputs!C21*Inputs!C14,IF(P5&lt;Inputs!C19+Inputs!C22,Inputs!C20*Inputs!C14,IF(P5&lt;Inputs!C19+Inputs!C25,O9*(1-Inputs!C23),0))))</f>
        <v/>
      </c>
      <c r="Q9" s="21">
        <f>IF(Q5&lt;Inputs!C19,0,IF(Q5=Inputs!C19,Inputs!C20*Inputs!C21*Inputs!C14,IF(Q5&lt;Inputs!C19+Inputs!C22,Inputs!C20*Inputs!C14,IF(Q5&lt;Inputs!C19+Inputs!C25,P9*(1-Inputs!C23),0))))</f>
        <v/>
      </c>
      <c r="R9" s="21">
        <f>IF(R5&lt;Inputs!C19,0,IF(R5=Inputs!C19,Inputs!C20*Inputs!C21*Inputs!C14,IF(R5&lt;Inputs!C19+Inputs!C22,Inputs!C20*Inputs!C14,IF(R5&lt;Inputs!C19+Inputs!C25,Q9*(1-Inputs!C23),0))))</f>
        <v/>
      </c>
      <c r="S9" s="21">
        <f>IF(S5&lt;Inputs!C19,0,IF(S5=Inputs!C19,Inputs!C20*Inputs!C21*Inputs!C14,IF(S5&lt;Inputs!C19+Inputs!C22,Inputs!C20*Inputs!C14,IF(S5&lt;Inputs!C19+Inputs!C25,R9*(1-Inputs!C23),0))))</f>
        <v/>
      </c>
      <c r="T9" s="21">
        <f>IF(T5&lt;Inputs!C19,0,IF(T5=Inputs!C19,Inputs!C20*Inputs!C21*Inputs!C14,IF(T5&lt;Inputs!C19+Inputs!C22,Inputs!C20*Inputs!C14,IF(T5&lt;Inputs!C19+Inputs!C25,S9*(1-Inputs!C23),0))))</f>
        <v/>
      </c>
      <c r="U9" s="21">
        <f>IF(U5&lt;Inputs!C19,0,IF(U5=Inputs!C19,Inputs!C20*Inputs!C21*Inputs!C14,IF(U5&lt;Inputs!C19+Inputs!C22,Inputs!C20*Inputs!C14,IF(U5&lt;Inputs!C19+Inputs!C25,T9*(1-Inputs!C23),0))))</f>
        <v/>
      </c>
      <c r="V9" s="21">
        <f>IF(V5&lt;Inputs!C19,0,IF(V5=Inputs!C19,Inputs!C20*Inputs!C21*Inputs!C14,IF(V5&lt;Inputs!C19+Inputs!C22,Inputs!C20*Inputs!C14,IF(V5&lt;Inputs!C19+Inputs!C25,U9*(1-Inputs!C23),0))))</f>
        <v/>
      </c>
      <c r="W9" s="21">
        <f>IF(W5&lt;Inputs!C19,0,IF(W5=Inputs!C19,Inputs!C20*Inputs!C21*Inputs!C14,IF(W5&lt;Inputs!C19+Inputs!C22,Inputs!C20*Inputs!C14,IF(W5&lt;Inputs!C19+Inputs!C25,V9*(1-Inputs!C23),0))))</f>
        <v/>
      </c>
      <c r="X9" s="21">
        <f>IF(X5&lt;Inputs!C19,0,IF(X5=Inputs!C19,Inputs!C20*Inputs!C21*Inputs!C14,IF(X5&lt;Inputs!C19+Inputs!C22,Inputs!C20*Inputs!C14,IF(X5&lt;Inputs!C19+Inputs!C25,W9*(1-Inputs!C23),0))))</f>
        <v/>
      </c>
      <c r="Y9" s="21">
        <f>IF(Y5&lt;Inputs!C19,0,IF(Y5=Inputs!C19,Inputs!C20*Inputs!C21*Inputs!C14,IF(Y5&lt;Inputs!C19+Inputs!C22,Inputs!C20*Inputs!C14,IF(Y5&lt;Inputs!C19+Inputs!C25,X9*(1-Inputs!C23),0))))</f>
        <v/>
      </c>
      <c r="Z9" s="21">
        <f>IF(Z5&lt;Inputs!C19,0,IF(Z5=Inputs!C19,Inputs!C20*Inputs!C21*Inputs!C14,IF(Z5&lt;Inputs!C19+Inputs!C22,Inputs!C20*Inputs!C14,IF(Z5&lt;Inputs!C19+Inputs!C25,Y9*(1-Inputs!C23),0))))</f>
        <v/>
      </c>
    </row>
    <row r="10">
      <c r="A10" s="20" t="inlineStr">
        <is>
          <t>Annual production (mmbbl)</t>
        </is>
      </c>
      <c r="B10" s="22">
        <f>B9*Inputs!C24/1000000</f>
        <v/>
      </c>
      <c r="C10" s="22">
        <f>C9*Inputs!C24/1000000</f>
        <v/>
      </c>
      <c r="D10" s="22">
        <f>D9*Inputs!C24/1000000</f>
        <v/>
      </c>
      <c r="E10" s="22">
        <f>E9*Inputs!C24/1000000</f>
        <v/>
      </c>
      <c r="F10" s="22">
        <f>F9*Inputs!C24/1000000</f>
        <v/>
      </c>
      <c r="G10" s="22">
        <f>G9*Inputs!C24/1000000</f>
        <v/>
      </c>
      <c r="H10" s="22">
        <f>H9*Inputs!C24/1000000</f>
        <v/>
      </c>
      <c r="I10" s="22">
        <f>I9*Inputs!C24/1000000</f>
        <v/>
      </c>
      <c r="J10" s="22">
        <f>J9*Inputs!C24/1000000</f>
        <v/>
      </c>
      <c r="K10" s="22">
        <f>K9*Inputs!C24/1000000</f>
        <v/>
      </c>
      <c r="L10" s="22">
        <f>L9*Inputs!C24/1000000</f>
        <v/>
      </c>
      <c r="M10" s="22">
        <f>M9*Inputs!C24/1000000</f>
        <v/>
      </c>
      <c r="N10" s="22">
        <f>N9*Inputs!C24/1000000</f>
        <v/>
      </c>
      <c r="O10" s="22">
        <f>O9*Inputs!C24/1000000</f>
        <v/>
      </c>
      <c r="P10" s="22">
        <f>P9*Inputs!C24/1000000</f>
        <v/>
      </c>
      <c r="Q10" s="22">
        <f>Q9*Inputs!C24/1000000</f>
        <v/>
      </c>
      <c r="R10" s="22">
        <f>R9*Inputs!C24/1000000</f>
        <v/>
      </c>
      <c r="S10" s="22">
        <f>S9*Inputs!C24/1000000</f>
        <v/>
      </c>
      <c r="T10" s="22">
        <f>T9*Inputs!C24/1000000</f>
        <v/>
      </c>
      <c r="U10" s="22">
        <f>U9*Inputs!C24/1000000</f>
        <v/>
      </c>
      <c r="V10" s="22">
        <f>V9*Inputs!C24/1000000</f>
        <v/>
      </c>
      <c r="W10" s="22">
        <f>W9*Inputs!C24/1000000</f>
        <v/>
      </c>
      <c r="X10" s="22">
        <f>X9*Inputs!C24/1000000</f>
        <v/>
      </c>
      <c r="Y10" s="22">
        <f>Y9*Inputs!C24/1000000</f>
        <v/>
      </c>
      <c r="Z10" s="22">
        <f>Z9*Inputs!C24/1000000</f>
        <v/>
      </c>
    </row>
    <row r="11">
      <c r="A11" s="20" t="inlineStr">
        <is>
          <t>Oil price ($/bbl)</t>
        </is>
      </c>
      <c r="B11" s="23">
        <f>Inputs!C28</f>
        <v/>
      </c>
      <c r="C11" s="23">
        <f>Inputs!C28</f>
        <v/>
      </c>
      <c r="D11" s="23">
        <f>Inputs!C28</f>
        <v/>
      </c>
      <c r="E11" s="23">
        <f>Inputs!C28</f>
        <v/>
      </c>
      <c r="F11" s="23">
        <f>Inputs!C28</f>
        <v/>
      </c>
      <c r="G11" s="23">
        <f>Inputs!C28</f>
        <v/>
      </c>
      <c r="H11" s="23">
        <f>Inputs!C28</f>
        <v/>
      </c>
      <c r="I11" s="23">
        <f>Inputs!C28</f>
        <v/>
      </c>
      <c r="J11" s="23">
        <f>Inputs!C28</f>
        <v/>
      </c>
      <c r="K11" s="23">
        <f>Inputs!C28</f>
        <v/>
      </c>
      <c r="L11" s="23">
        <f>Inputs!C28</f>
        <v/>
      </c>
      <c r="M11" s="23">
        <f>Inputs!C28</f>
        <v/>
      </c>
      <c r="N11" s="23">
        <f>Inputs!C28</f>
        <v/>
      </c>
      <c r="O11" s="23">
        <f>Inputs!C28</f>
        <v/>
      </c>
      <c r="P11" s="23">
        <f>Inputs!C28</f>
        <v/>
      </c>
      <c r="Q11" s="23">
        <f>Inputs!C28</f>
        <v/>
      </c>
      <c r="R11" s="23">
        <f>Inputs!C28</f>
        <v/>
      </c>
      <c r="S11" s="23">
        <f>Inputs!C28</f>
        <v/>
      </c>
      <c r="T11" s="23">
        <f>Inputs!C28</f>
        <v/>
      </c>
      <c r="U11" s="23">
        <f>Inputs!C28</f>
        <v/>
      </c>
      <c r="V11" s="23">
        <f>Inputs!C28</f>
        <v/>
      </c>
      <c r="W11" s="23">
        <f>Inputs!C28</f>
        <v/>
      </c>
      <c r="X11" s="23">
        <f>Inputs!C28</f>
        <v/>
      </c>
      <c r="Y11" s="23">
        <f>Inputs!C28</f>
        <v/>
      </c>
      <c r="Z11" s="23">
        <f>Inputs!C28</f>
        <v/>
      </c>
    </row>
    <row r="12">
      <c r="A12" s="20" t="inlineStr">
        <is>
          <t>Gross revenue</t>
        </is>
      </c>
      <c r="B12" s="24">
        <f>B10*B11</f>
        <v/>
      </c>
      <c r="C12" s="24">
        <f>C10*C11</f>
        <v/>
      </c>
      <c r="D12" s="24">
        <f>D10*D11</f>
        <v/>
      </c>
      <c r="E12" s="24">
        <f>E10*E11</f>
        <v/>
      </c>
      <c r="F12" s="24">
        <f>F10*F11</f>
        <v/>
      </c>
      <c r="G12" s="24">
        <f>G10*G11</f>
        <v/>
      </c>
      <c r="H12" s="24">
        <f>H10*H11</f>
        <v/>
      </c>
      <c r="I12" s="24">
        <f>I10*I11</f>
        <v/>
      </c>
      <c r="J12" s="24">
        <f>J10*J11</f>
        <v/>
      </c>
      <c r="K12" s="24">
        <f>K10*K11</f>
        <v/>
      </c>
      <c r="L12" s="24">
        <f>L10*L11</f>
        <v/>
      </c>
      <c r="M12" s="24">
        <f>M10*M11</f>
        <v/>
      </c>
      <c r="N12" s="24">
        <f>N10*N11</f>
        <v/>
      </c>
      <c r="O12" s="24">
        <f>O10*O11</f>
        <v/>
      </c>
      <c r="P12" s="24">
        <f>P10*P11</f>
        <v/>
      </c>
      <c r="Q12" s="24">
        <f>Q10*Q11</f>
        <v/>
      </c>
      <c r="R12" s="24">
        <f>R10*R11</f>
        <v/>
      </c>
      <c r="S12" s="24">
        <f>S10*S11</f>
        <v/>
      </c>
      <c r="T12" s="24">
        <f>T10*T11</f>
        <v/>
      </c>
      <c r="U12" s="24">
        <f>U10*U11</f>
        <v/>
      </c>
      <c r="V12" s="24">
        <f>V10*V11</f>
        <v/>
      </c>
      <c r="W12" s="24">
        <f>W10*W11</f>
        <v/>
      </c>
      <c r="X12" s="24">
        <f>X10*X11</f>
        <v/>
      </c>
      <c r="Y12" s="24">
        <f>Y10*Y11</f>
        <v/>
      </c>
      <c r="Z12" s="24">
        <f>Z10*Z11</f>
        <v/>
      </c>
    </row>
    <row r="14">
      <c r="A14" s="19" t="inlineStr">
        <is>
          <t>ROYALTIES, OPEX &amp; TAX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20" t="inlineStr">
        <is>
          <t>Production royalty</t>
        </is>
      </c>
      <c r="B15" s="25">
        <f>-B12*Inputs!C34</f>
        <v/>
      </c>
      <c r="C15" s="25">
        <f>-C12*Inputs!C34</f>
        <v/>
      </c>
      <c r="D15" s="25">
        <f>-D12*Inputs!C34</f>
        <v/>
      </c>
      <c r="E15" s="25">
        <f>-E12*Inputs!C34</f>
        <v/>
      </c>
      <c r="F15" s="25">
        <f>-F12*Inputs!C34</f>
        <v/>
      </c>
      <c r="G15" s="25">
        <f>-G12*Inputs!C34</f>
        <v/>
      </c>
      <c r="H15" s="25">
        <f>-H12*Inputs!C34</f>
        <v/>
      </c>
      <c r="I15" s="25">
        <f>-I12*Inputs!C34</f>
        <v/>
      </c>
      <c r="J15" s="25">
        <f>-J12*Inputs!C34</f>
        <v/>
      </c>
      <c r="K15" s="25">
        <f>-K12*Inputs!C34</f>
        <v/>
      </c>
      <c r="L15" s="25">
        <f>-L12*Inputs!C34</f>
        <v/>
      </c>
      <c r="M15" s="25">
        <f>-M12*Inputs!C34</f>
        <v/>
      </c>
      <c r="N15" s="25">
        <f>-N12*Inputs!C34</f>
        <v/>
      </c>
      <c r="O15" s="25">
        <f>-O12*Inputs!C34</f>
        <v/>
      </c>
      <c r="P15" s="25">
        <f>-P12*Inputs!C34</f>
        <v/>
      </c>
      <c r="Q15" s="25">
        <f>-Q12*Inputs!C34</f>
        <v/>
      </c>
      <c r="R15" s="25">
        <f>-R12*Inputs!C34</f>
        <v/>
      </c>
      <c r="S15" s="25">
        <f>-S12*Inputs!C34</f>
        <v/>
      </c>
      <c r="T15" s="25">
        <f>-T12*Inputs!C34</f>
        <v/>
      </c>
      <c r="U15" s="25">
        <f>-U12*Inputs!C34</f>
        <v/>
      </c>
      <c r="V15" s="25">
        <f>-V12*Inputs!C34</f>
        <v/>
      </c>
      <c r="W15" s="25">
        <f>-W12*Inputs!C34</f>
        <v/>
      </c>
      <c r="X15" s="25">
        <f>-X12*Inputs!C34</f>
        <v/>
      </c>
      <c r="Y15" s="25">
        <f>-Y12*Inputs!C34</f>
        <v/>
      </c>
      <c r="Z15" s="25">
        <f>-Z12*Inputs!C34</f>
        <v/>
      </c>
    </row>
    <row r="16">
      <c r="A16" s="20" t="inlineStr">
        <is>
          <t>Price-based royalty</t>
        </is>
      </c>
      <c r="B16" s="25">
        <f>-B12*Inputs!C35</f>
        <v/>
      </c>
      <c r="C16" s="25">
        <f>-C12*Inputs!C35</f>
        <v/>
      </c>
      <c r="D16" s="25">
        <f>-D12*Inputs!C35</f>
        <v/>
      </c>
      <c r="E16" s="25">
        <f>-E12*Inputs!C35</f>
        <v/>
      </c>
      <c r="F16" s="25">
        <f>-F12*Inputs!C35</f>
        <v/>
      </c>
      <c r="G16" s="25">
        <f>-G12*Inputs!C35</f>
        <v/>
      </c>
      <c r="H16" s="25">
        <f>-H12*Inputs!C35</f>
        <v/>
      </c>
      <c r="I16" s="25">
        <f>-I12*Inputs!C35</f>
        <v/>
      </c>
      <c r="J16" s="25">
        <f>-J12*Inputs!C35</f>
        <v/>
      </c>
      <c r="K16" s="25">
        <f>-K12*Inputs!C35</f>
        <v/>
      </c>
      <c r="L16" s="25">
        <f>-L12*Inputs!C35</f>
        <v/>
      </c>
      <c r="M16" s="25">
        <f>-M12*Inputs!C35</f>
        <v/>
      </c>
      <c r="N16" s="25">
        <f>-N12*Inputs!C35</f>
        <v/>
      </c>
      <c r="O16" s="25">
        <f>-O12*Inputs!C35</f>
        <v/>
      </c>
      <c r="P16" s="25">
        <f>-P12*Inputs!C35</f>
        <v/>
      </c>
      <c r="Q16" s="25">
        <f>-Q12*Inputs!C35</f>
        <v/>
      </c>
      <c r="R16" s="25">
        <f>-R12*Inputs!C35</f>
        <v/>
      </c>
      <c r="S16" s="25">
        <f>-S12*Inputs!C35</f>
        <v/>
      </c>
      <c r="T16" s="25">
        <f>-T12*Inputs!C35</f>
        <v/>
      </c>
      <c r="U16" s="25">
        <f>-U12*Inputs!C35</f>
        <v/>
      </c>
      <c r="V16" s="25">
        <f>-V12*Inputs!C35</f>
        <v/>
      </c>
      <c r="W16" s="25">
        <f>-W12*Inputs!C35</f>
        <v/>
      </c>
      <c r="X16" s="25">
        <f>-X12*Inputs!C35</f>
        <v/>
      </c>
      <c r="Y16" s="25">
        <f>-Y12*Inputs!C35</f>
        <v/>
      </c>
      <c r="Z16" s="25">
        <f>-Z12*Inputs!C35</f>
        <v/>
      </c>
    </row>
    <row r="17">
      <c r="A17" s="20" t="inlineStr">
        <is>
          <t>Net revenue after royalty</t>
        </is>
      </c>
      <c r="B17" s="26">
        <f>B12+B15+B16</f>
        <v/>
      </c>
      <c r="C17" s="26">
        <f>C12+C15+C16</f>
        <v/>
      </c>
      <c r="D17" s="26">
        <f>D12+D15+D16</f>
        <v/>
      </c>
      <c r="E17" s="26">
        <f>E12+E15+E16</f>
        <v/>
      </c>
      <c r="F17" s="26">
        <f>F12+F15+F16</f>
        <v/>
      </c>
      <c r="G17" s="26">
        <f>G12+G15+G16</f>
        <v/>
      </c>
      <c r="H17" s="26">
        <f>H12+H15+H16</f>
        <v/>
      </c>
      <c r="I17" s="26">
        <f>I12+I15+I16</f>
        <v/>
      </c>
      <c r="J17" s="26">
        <f>J12+J15+J16</f>
        <v/>
      </c>
      <c r="K17" s="26">
        <f>K12+K15+K16</f>
        <v/>
      </c>
      <c r="L17" s="26">
        <f>L12+L15+L16</f>
        <v/>
      </c>
      <c r="M17" s="26">
        <f>M12+M15+M16</f>
        <v/>
      </c>
      <c r="N17" s="26">
        <f>N12+N15+N16</f>
        <v/>
      </c>
      <c r="O17" s="26">
        <f>O12+O15+O16</f>
        <v/>
      </c>
      <c r="P17" s="26">
        <f>P12+P15+P16</f>
        <v/>
      </c>
      <c r="Q17" s="26">
        <f>Q12+Q15+Q16</f>
        <v/>
      </c>
      <c r="R17" s="26">
        <f>R12+R15+R16</f>
        <v/>
      </c>
      <c r="S17" s="26">
        <f>S12+S15+S16</f>
        <v/>
      </c>
      <c r="T17" s="26">
        <f>T12+T15+T16</f>
        <v/>
      </c>
      <c r="U17" s="26">
        <f>U12+U15+U16</f>
        <v/>
      </c>
      <c r="V17" s="26">
        <f>V12+V15+V16</f>
        <v/>
      </c>
      <c r="W17" s="26">
        <f>W12+W15+W16</f>
        <v/>
      </c>
      <c r="X17" s="26">
        <f>X12+X15+X16</f>
        <v/>
      </c>
      <c r="Y17" s="26">
        <f>Y12+Y15+Y16</f>
        <v/>
      </c>
      <c r="Z17" s="26">
        <f>Z12+Z15+Z16</f>
        <v/>
      </c>
    </row>
    <row r="18">
      <c r="A18" s="20" t="inlineStr">
        <is>
          <t>Variable opex</t>
        </is>
      </c>
      <c r="B18" s="25">
        <f>-B10*Inputs!C29</f>
        <v/>
      </c>
      <c r="C18" s="25">
        <f>-C10*Inputs!C29</f>
        <v/>
      </c>
      <c r="D18" s="25">
        <f>-D10*Inputs!C29</f>
        <v/>
      </c>
      <c r="E18" s="25">
        <f>-E10*Inputs!C29</f>
        <v/>
      </c>
      <c r="F18" s="25">
        <f>-F10*Inputs!C29</f>
        <v/>
      </c>
      <c r="G18" s="25">
        <f>-G10*Inputs!C29</f>
        <v/>
      </c>
      <c r="H18" s="25">
        <f>-H10*Inputs!C29</f>
        <v/>
      </c>
      <c r="I18" s="25">
        <f>-I10*Inputs!C29</f>
        <v/>
      </c>
      <c r="J18" s="25">
        <f>-J10*Inputs!C29</f>
        <v/>
      </c>
      <c r="K18" s="25">
        <f>-K10*Inputs!C29</f>
        <v/>
      </c>
      <c r="L18" s="25">
        <f>-L10*Inputs!C29</f>
        <v/>
      </c>
      <c r="M18" s="25">
        <f>-M10*Inputs!C29</f>
        <v/>
      </c>
      <c r="N18" s="25">
        <f>-N10*Inputs!C29</f>
        <v/>
      </c>
      <c r="O18" s="25">
        <f>-O10*Inputs!C29</f>
        <v/>
      </c>
      <c r="P18" s="25">
        <f>-P10*Inputs!C29</f>
        <v/>
      </c>
      <c r="Q18" s="25">
        <f>-Q10*Inputs!C29</f>
        <v/>
      </c>
      <c r="R18" s="25">
        <f>-R10*Inputs!C29</f>
        <v/>
      </c>
      <c r="S18" s="25">
        <f>-S10*Inputs!C29</f>
        <v/>
      </c>
      <c r="T18" s="25">
        <f>-T10*Inputs!C29</f>
        <v/>
      </c>
      <c r="U18" s="25">
        <f>-U10*Inputs!C29</f>
        <v/>
      </c>
      <c r="V18" s="25">
        <f>-V10*Inputs!C29</f>
        <v/>
      </c>
      <c r="W18" s="25">
        <f>-W10*Inputs!C29</f>
        <v/>
      </c>
      <c r="X18" s="25">
        <f>-X10*Inputs!C29</f>
        <v/>
      </c>
      <c r="Y18" s="25">
        <f>-Y10*Inputs!C29</f>
        <v/>
      </c>
      <c r="Z18" s="25">
        <f>-Z10*Inputs!C29</f>
        <v/>
      </c>
    </row>
    <row r="19">
      <c r="A19" s="20" t="inlineStr">
        <is>
          <t>Fixed opex</t>
        </is>
      </c>
      <c r="B19" s="25">
        <f>-IF(AND(B5&gt;=Inputs!C19,B5&lt;Inputs!C19+Inputs!C25),Inputs!C30,0)</f>
        <v/>
      </c>
      <c r="C19" s="25">
        <f>-IF(AND(C5&gt;=Inputs!C19,C5&lt;Inputs!C19+Inputs!C25),Inputs!C30,0)</f>
        <v/>
      </c>
      <c r="D19" s="25">
        <f>-IF(AND(D5&gt;=Inputs!C19,D5&lt;Inputs!C19+Inputs!C25),Inputs!C30,0)</f>
        <v/>
      </c>
      <c r="E19" s="25">
        <f>-IF(AND(E5&gt;=Inputs!C19,E5&lt;Inputs!C19+Inputs!C25),Inputs!C30,0)</f>
        <v/>
      </c>
      <c r="F19" s="25">
        <f>-IF(AND(F5&gt;=Inputs!C19,F5&lt;Inputs!C19+Inputs!C25),Inputs!C30,0)</f>
        <v/>
      </c>
      <c r="G19" s="25">
        <f>-IF(AND(G5&gt;=Inputs!C19,G5&lt;Inputs!C19+Inputs!C25),Inputs!C30,0)</f>
        <v/>
      </c>
      <c r="H19" s="25">
        <f>-IF(AND(H5&gt;=Inputs!C19,H5&lt;Inputs!C19+Inputs!C25),Inputs!C30,0)</f>
        <v/>
      </c>
      <c r="I19" s="25">
        <f>-IF(AND(I5&gt;=Inputs!C19,I5&lt;Inputs!C19+Inputs!C25),Inputs!C30,0)</f>
        <v/>
      </c>
      <c r="J19" s="25">
        <f>-IF(AND(J5&gt;=Inputs!C19,J5&lt;Inputs!C19+Inputs!C25),Inputs!C30,0)</f>
        <v/>
      </c>
      <c r="K19" s="25">
        <f>-IF(AND(K5&gt;=Inputs!C19,K5&lt;Inputs!C19+Inputs!C25),Inputs!C30,0)</f>
        <v/>
      </c>
      <c r="L19" s="25">
        <f>-IF(AND(L5&gt;=Inputs!C19,L5&lt;Inputs!C19+Inputs!C25),Inputs!C30,0)</f>
        <v/>
      </c>
      <c r="M19" s="25">
        <f>-IF(AND(M5&gt;=Inputs!C19,M5&lt;Inputs!C19+Inputs!C25),Inputs!C30,0)</f>
        <v/>
      </c>
      <c r="N19" s="25">
        <f>-IF(AND(N5&gt;=Inputs!C19,N5&lt;Inputs!C19+Inputs!C25),Inputs!C30,0)</f>
        <v/>
      </c>
      <c r="O19" s="25">
        <f>-IF(AND(O5&gt;=Inputs!C19,O5&lt;Inputs!C19+Inputs!C25),Inputs!C30,0)</f>
        <v/>
      </c>
      <c r="P19" s="25">
        <f>-IF(AND(P5&gt;=Inputs!C19,P5&lt;Inputs!C19+Inputs!C25),Inputs!C30,0)</f>
        <v/>
      </c>
      <c r="Q19" s="25">
        <f>-IF(AND(Q5&gt;=Inputs!C19,Q5&lt;Inputs!C19+Inputs!C25),Inputs!C30,0)</f>
        <v/>
      </c>
      <c r="R19" s="25">
        <f>-IF(AND(R5&gt;=Inputs!C19,R5&lt;Inputs!C19+Inputs!C25),Inputs!C30,0)</f>
        <v/>
      </c>
      <c r="S19" s="25">
        <f>-IF(AND(S5&gt;=Inputs!C19,S5&lt;Inputs!C19+Inputs!C25),Inputs!C30,0)</f>
        <v/>
      </c>
      <c r="T19" s="25">
        <f>-IF(AND(T5&gt;=Inputs!C19,T5&lt;Inputs!C19+Inputs!C25),Inputs!C30,0)</f>
        <v/>
      </c>
      <c r="U19" s="25">
        <f>-IF(AND(U5&gt;=Inputs!C19,U5&lt;Inputs!C19+Inputs!C25),Inputs!C30,0)</f>
        <v/>
      </c>
      <c r="V19" s="25">
        <f>-IF(AND(V5&gt;=Inputs!C19,V5&lt;Inputs!C19+Inputs!C25),Inputs!C30,0)</f>
        <v/>
      </c>
      <c r="W19" s="25">
        <f>-IF(AND(W5&gt;=Inputs!C19,W5&lt;Inputs!C19+Inputs!C25),Inputs!C30,0)</f>
        <v/>
      </c>
      <c r="X19" s="25">
        <f>-IF(AND(X5&gt;=Inputs!C19,X5&lt;Inputs!C19+Inputs!C25),Inputs!C30,0)</f>
        <v/>
      </c>
      <c r="Y19" s="25">
        <f>-IF(AND(Y5&gt;=Inputs!C19,Y5&lt;Inputs!C19+Inputs!C25),Inputs!C30,0)</f>
        <v/>
      </c>
      <c r="Z19" s="25">
        <f>-IF(AND(Z5&gt;=Inputs!C19,Z5&lt;Inputs!C19+Inputs!C25),Inputs!C30,0)</f>
        <v/>
      </c>
    </row>
    <row r="20">
      <c r="A20" s="20" t="inlineStr">
        <is>
          <t>Capital allowance (depreciation)</t>
        </is>
      </c>
      <c r="B20" s="25">
        <f>IF(AND(B5&gt;=Inputs!C19,B5&lt;Inputs!C19+Inputs!C38),Inputs!C15/Inputs!C38,0)</f>
        <v/>
      </c>
      <c r="C20" s="25">
        <f>IF(AND(C5&gt;=Inputs!C19,C5&lt;Inputs!C19+Inputs!C38),Inputs!C15/Inputs!C38,0)</f>
        <v/>
      </c>
      <c r="D20" s="25">
        <f>IF(AND(D5&gt;=Inputs!C19,D5&lt;Inputs!C19+Inputs!C38),Inputs!C15/Inputs!C38,0)</f>
        <v/>
      </c>
      <c r="E20" s="25">
        <f>IF(AND(E5&gt;=Inputs!C19,E5&lt;Inputs!C19+Inputs!C38),Inputs!C15/Inputs!C38,0)</f>
        <v/>
      </c>
      <c r="F20" s="25">
        <f>IF(AND(F5&gt;=Inputs!C19,F5&lt;Inputs!C19+Inputs!C38),Inputs!C15/Inputs!C38,0)</f>
        <v/>
      </c>
      <c r="G20" s="25">
        <f>IF(AND(G5&gt;=Inputs!C19,G5&lt;Inputs!C19+Inputs!C38),Inputs!C15/Inputs!C38,0)</f>
        <v/>
      </c>
      <c r="H20" s="25">
        <f>IF(AND(H5&gt;=Inputs!C19,H5&lt;Inputs!C19+Inputs!C38),Inputs!C15/Inputs!C38,0)</f>
        <v/>
      </c>
      <c r="I20" s="25">
        <f>IF(AND(I5&gt;=Inputs!C19,I5&lt;Inputs!C19+Inputs!C38),Inputs!C15/Inputs!C38,0)</f>
        <v/>
      </c>
      <c r="J20" s="25">
        <f>IF(AND(J5&gt;=Inputs!C19,J5&lt;Inputs!C19+Inputs!C38),Inputs!C15/Inputs!C38,0)</f>
        <v/>
      </c>
      <c r="K20" s="25">
        <f>IF(AND(K5&gt;=Inputs!C19,K5&lt;Inputs!C19+Inputs!C38),Inputs!C15/Inputs!C38,0)</f>
        <v/>
      </c>
      <c r="L20" s="25">
        <f>IF(AND(L5&gt;=Inputs!C19,L5&lt;Inputs!C19+Inputs!C38),Inputs!C15/Inputs!C38,0)</f>
        <v/>
      </c>
      <c r="M20" s="25">
        <f>IF(AND(M5&gt;=Inputs!C19,M5&lt;Inputs!C19+Inputs!C38),Inputs!C15/Inputs!C38,0)</f>
        <v/>
      </c>
      <c r="N20" s="25">
        <f>IF(AND(N5&gt;=Inputs!C19,N5&lt;Inputs!C19+Inputs!C38),Inputs!C15/Inputs!C38,0)</f>
        <v/>
      </c>
      <c r="O20" s="25">
        <f>IF(AND(O5&gt;=Inputs!C19,O5&lt;Inputs!C19+Inputs!C38),Inputs!C15/Inputs!C38,0)</f>
        <v/>
      </c>
      <c r="P20" s="25">
        <f>IF(AND(P5&gt;=Inputs!C19,P5&lt;Inputs!C19+Inputs!C38),Inputs!C15/Inputs!C38,0)</f>
        <v/>
      </c>
      <c r="Q20" s="25">
        <f>IF(AND(Q5&gt;=Inputs!C19,Q5&lt;Inputs!C19+Inputs!C38),Inputs!C15/Inputs!C38,0)</f>
        <v/>
      </c>
      <c r="R20" s="25">
        <f>IF(AND(R5&gt;=Inputs!C19,R5&lt;Inputs!C19+Inputs!C38),Inputs!C15/Inputs!C38,0)</f>
        <v/>
      </c>
      <c r="S20" s="25">
        <f>IF(AND(S5&gt;=Inputs!C19,S5&lt;Inputs!C19+Inputs!C38),Inputs!C15/Inputs!C38,0)</f>
        <v/>
      </c>
      <c r="T20" s="25">
        <f>IF(AND(T5&gt;=Inputs!C19,T5&lt;Inputs!C19+Inputs!C38),Inputs!C15/Inputs!C38,0)</f>
        <v/>
      </c>
      <c r="U20" s="25">
        <f>IF(AND(U5&gt;=Inputs!C19,U5&lt;Inputs!C19+Inputs!C38),Inputs!C15/Inputs!C38,0)</f>
        <v/>
      </c>
      <c r="V20" s="25">
        <f>IF(AND(V5&gt;=Inputs!C19,V5&lt;Inputs!C19+Inputs!C38),Inputs!C15/Inputs!C38,0)</f>
        <v/>
      </c>
      <c r="W20" s="25">
        <f>IF(AND(W5&gt;=Inputs!C19,W5&lt;Inputs!C19+Inputs!C38),Inputs!C15/Inputs!C38,0)</f>
        <v/>
      </c>
      <c r="X20" s="25">
        <f>IF(AND(X5&gt;=Inputs!C19,X5&lt;Inputs!C19+Inputs!C38),Inputs!C15/Inputs!C38,0)</f>
        <v/>
      </c>
      <c r="Y20" s="25">
        <f>IF(AND(Y5&gt;=Inputs!C19,Y5&lt;Inputs!C19+Inputs!C38),Inputs!C15/Inputs!C38,0)</f>
        <v/>
      </c>
      <c r="Z20" s="25">
        <f>IF(AND(Z5&gt;=Inputs!C19,Z5&lt;Inputs!C19+Inputs!C38),Inputs!C15/Inputs!C38,0)</f>
        <v/>
      </c>
    </row>
    <row r="21">
      <c r="A21" s="20" t="inlineStr">
        <is>
          <t>Taxable profit (pre-loss c/f)</t>
        </is>
      </c>
      <c r="B21" s="25">
        <f>B17+B18+B19-B20</f>
        <v/>
      </c>
      <c r="C21" s="25">
        <f>C17+C18+C19-C20</f>
        <v/>
      </c>
      <c r="D21" s="25">
        <f>D17+D18+D19-D20</f>
        <v/>
      </c>
      <c r="E21" s="25">
        <f>E17+E18+E19-E20</f>
        <v/>
      </c>
      <c r="F21" s="25">
        <f>F17+F18+F19-F20</f>
        <v/>
      </c>
      <c r="G21" s="25">
        <f>G17+G18+G19-G20</f>
        <v/>
      </c>
      <c r="H21" s="25">
        <f>H17+H18+H19-H20</f>
        <v/>
      </c>
      <c r="I21" s="25">
        <f>I17+I18+I19-I20</f>
        <v/>
      </c>
      <c r="J21" s="25">
        <f>J17+J18+J19-J20</f>
        <v/>
      </c>
      <c r="K21" s="25">
        <f>K17+K18+K19-K20</f>
        <v/>
      </c>
      <c r="L21" s="25">
        <f>L17+L18+L19-L20</f>
        <v/>
      </c>
      <c r="M21" s="25">
        <f>M17+M18+M19-M20</f>
        <v/>
      </c>
      <c r="N21" s="25">
        <f>N17+N18+N19-N20</f>
        <v/>
      </c>
      <c r="O21" s="25">
        <f>O17+O18+O19-O20</f>
        <v/>
      </c>
      <c r="P21" s="25">
        <f>P17+P18+P19-P20</f>
        <v/>
      </c>
      <c r="Q21" s="25">
        <f>Q17+Q18+Q19-Q20</f>
        <v/>
      </c>
      <c r="R21" s="25">
        <f>R17+R18+R19-R20</f>
        <v/>
      </c>
      <c r="S21" s="25">
        <f>S17+S18+S19-S20</f>
        <v/>
      </c>
      <c r="T21" s="25">
        <f>T17+T18+T19-T20</f>
        <v/>
      </c>
      <c r="U21" s="25">
        <f>U17+U18+U19-U20</f>
        <v/>
      </c>
      <c r="V21" s="25">
        <f>V17+V18+V19-V20</f>
        <v/>
      </c>
      <c r="W21" s="25">
        <f>W17+W18+W19-W20</f>
        <v/>
      </c>
      <c r="X21" s="25">
        <f>X17+X18+X19-X20</f>
        <v/>
      </c>
      <c r="Y21" s="25">
        <f>Y17+Y18+Y19-Y20</f>
        <v/>
      </c>
      <c r="Z21" s="25">
        <f>Z17+Z18+Z19-Z20</f>
        <v/>
      </c>
    </row>
    <row r="22">
      <c r="A22" s="20" t="inlineStr">
        <is>
          <t>Loss c/f balance</t>
        </is>
      </c>
      <c r="B22" s="25">
        <f>MAX(0,0-MAX(0,B21))+MAX(0,-B21)</f>
        <v/>
      </c>
      <c r="C22" s="25">
        <f>MAX(0,B22-MAX(0,C21))+MAX(0,-C21)</f>
        <v/>
      </c>
      <c r="D22" s="25">
        <f>MAX(0,C22-MAX(0,D21))+MAX(0,-D21)</f>
        <v/>
      </c>
      <c r="E22" s="25">
        <f>MAX(0,D22-MAX(0,E21))+MAX(0,-E21)</f>
        <v/>
      </c>
      <c r="F22" s="25">
        <f>MAX(0,E22-MAX(0,F21))+MAX(0,-F21)</f>
        <v/>
      </c>
      <c r="G22" s="25">
        <f>MAX(0,F22-MAX(0,G21))+MAX(0,-G21)</f>
        <v/>
      </c>
      <c r="H22" s="25">
        <f>MAX(0,G22-MAX(0,H21))+MAX(0,-H21)</f>
        <v/>
      </c>
      <c r="I22" s="25">
        <f>MAX(0,H22-MAX(0,I21))+MAX(0,-I21)</f>
        <v/>
      </c>
      <c r="J22" s="25">
        <f>MAX(0,I22-MAX(0,J21))+MAX(0,-J21)</f>
        <v/>
      </c>
      <c r="K22" s="25">
        <f>MAX(0,J22-MAX(0,K21))+MAX(0,-K21)</f>
        <v/>
      </c>
      <c r="L22" s="25">
        <f>MAX(0,K22-MAX(0,L21))+MAX(0,-L21)</f>
        <v/>
      </c>
      <c r="M22" s="25">
        <f>MAX(0,L22-MAX(0,M21))+MAX(0,-M21)</f>
        <v/>
      </c>
      <c r="N22" s="25">
        <f>MAX(0,M22-MAX(0,N21))+MAX(0,-N21)</f>
        <v/>
      </c>
      <c r="O22" s="25">
        <f>MAX(0,N22-MAX(0,O21))+MAX(0,-O21)</f>
        <v/>
      </c>
      <c r="P22" s="25">
        <f>MAX(0,O22-MAX(0,P21))+MAX(0,-P21)</f>
        <v/>
      </c>
      <c r="Q22" s="25">
        <f>MAX(0,P22-MAX(0,Q21))+MAX(0,-Q21)</f>
        <v/>
      </c>
      <c r="R22" s="25">
        <f>MAX(0,Q22-MAX(0,R21))+MAX(0,-R21)</f>
        <v/>
      </c>
      <c r="S22" s="25">
        <f>MAX(0,R22-MAX(0,S21))+MAX(0,-S21)</f>
        <v/>
      </c>
      <c r="T22" s="25">
        <f>MAX(0,S22-MAX(0,T21))+MAX(0,-T21)</f>
        <v/>
      </c>
      <c r="U22" s="25">
        <f>MAX(0,T22-MAX(0,U21))+MAX(0,-U21)</f>
        <v/>
      </c>
      <c r="V22" s="25">
        <f>MAX(0,U22-MAX(0,V21))+MAX(0,-V21)</f>
        <v/>
      </c>
      <c r="W22" s="25">
        <f>MAX(0,V22-MAX(0,W21))+MAX(0,-W21)</f>
        <v/>
      </c>
      <c r="X22" s="25">
        <f>MAX(0,W22-MAX(0,X21))+MAX(0,-X21)</f>
        <v/>
      </c>
      <c r="Y22" s="25">
        <f>MAX(0,X22-MAX(0,Y21))+MAX(0,-Y21)</f>
        <v/>
      </c>
      <c r="Z22" s="25">
        <f>MAX(0,Y22-MAX(0,Z21))+MAX(0,-Z21)</f>
        <v/>
      </c>
    </row>
    <row r="23">
      <c r="A23" s="20" t="inlineStr">
        <is>
          <t>Taxable base</t>
        </is>
      </c>
      <c r="B23" s="25">
        <f>MAX(0,B21-0)</f>
        <v/>
      </c>
      <c r="C23" s="25">
        <f>MAX(0,C21-B22)</f>
        <v/>
      </c>
      <c r="D23" s="25">
        <f>MAX(0,D21-C22)</f>
        <v/>
      </c>
      <c r="E23" s="25">
        <f>MAX(0,E21-D22)</f>
        <v/>
      </c>
      <c r="F23" s="25">
        <f>MAX(0,F21-E22)</f>
        <v/>
      </c>
      <c r="G23" s="25">
        <f>MAX(0,G21-F22)</f>
        <v/>
      </c>
      <c r="H23" s="25">
        <f>MAX(0,H21-G22)</f>
        <v/>
      </c>
      <c r="I23" s="25">
        <f>MAX(0,I21-H22)</f>
        <v/>
      </c>
      <c r="J23" s="25">
        <f>MAX(0,J21-I22)</f>
        <v/>
      </c>
      <c r="K23" s="25">
        <f>MAX(0,K21-J22)</f>
        <v/>
      </c>
      <c r="L23" s="25">
        <f>MAX(0,L21-K22)</f>
        <v/>
      </c>
      <c r="M23" s="25">
        <f>MAX(0,M21-L22)</f>
        <v/>
      </c>
      <c r="N23" s="25">
        <f>MAX(0,N21-M22)</f>
        <v/>
      </c>
      <c r="O23" s="25">
        <f>MAX(0,O21-N22)</f>
        <v/>
      </c>
      <c r="P23" s="25">
        <f>MAX(0,P21-O22)</f>
        <v/>
      </c>
      <c r="Q23" s="25">
        <f>MAX(0,Q21-P22)</f>
        <v/>
      </c>
      <c r="R23" s="25">
        <f>MAX(0,R21-Q22)</f>
        <v/>
      </c>
      <c r="S23" s="25">
        <f>MAX(0,S21-R22)</f>
        <v/>
      </c>
      <c r="T23" s="25">
        <f>MAX(0,T21-S22)</f>
        <v/>
      </c>
      <c r="U23" s="25">
        <f>MAX(0,U21-T22)</f>
        <v/>
      </c>
      <c r="V23" s="25">
        <f>MAX(0,V21-U22)</f>
        <v/>
      </c>
      <c r="W23" s="25">
        <f>MAX(0,W21-V22)</f>
        <v/>
      </c>
      <c r="X23" s="25">
        <f>MAX(0,X21-W22)</f>
        <v/>
      </c>
      <c r="Y23" s="25">
        <f>MAX(0,Y21-X22)</f>
        <v/>
      </c>
      <c r="Z23" s="25">
        <f>MAX(0,Z21-Y22)</f>
        <v/>
      </c>
    </row>
    <row r="24">
      <c r="A24" s="20" t="inlineStr">
        <is>
          <t>Hydrocarbon tax + CIT</t>
        </is>
      </c>
      <c r="B24" s="25">
        <f>-(B23*Inputs!C36+(B23-B23*Inputs!C36)*Inputs!C37)</f>
        <v/>
      </c>
      <c r="C24" s="25">
        <f>-(C23*Inputs!C36+(C23-C23*Inputs!C36)*Inputs!C37)</f>
        <v/>
      </c>
      <c r="D24" s="25">
        <f>-(D23*Inputs!C36+(D23-D23*Inputs!C36)*Inputs!C37)</f>
        <v/>
      </c>
      <c r="E24" s="25">
        <f>-(E23*Inputs!C36+(E23-E23*Inputs!C36)*Inputs!C37)</f>
        <v/>
      </c>
      <c r="F24" s="25">
        <f>-(F23*Inputs!C36+(F23-F23*Inputs!C36)*Inputs!C37)</f>
        <v/>
      </c>
      <c r="G24" s="25">
        <f>-(G23*Inputs!C36+(G23-G23*Inputs!C36)*Inputs!C37)</f>
        <v/>
      </c>
      <c r="H24" s="25">
        <f>-(H23*Inputs!C36+(H23-H23*Inputs!C36)*Inputs!C37)</f>
        <v/>
      </c>
      <c r="I24" s="25">
        <f>-(I23*Inputs!C36+(I23-I23*Inputs!C36)*Inputs!C37)</f>
        <v/>
      </c>
      <c r="J24" s="25">
        <f>-(J23*Inputs!C36+(J23-J23*Inputs!C36)*Inputs!C37)</f>
        <v/>
      </c>
      <c r="K24" s="25">
        <f>-(K23*Inputs!C36+(K23-K23*Inputs!C36)*Inputs!C37)</f>
        <v/>
      </c>
      <c r="L24" s="25">
        <f>-(L23*Inputs!C36+(L23-L23*Inputs!C36)*Inputs!C37)</f>
        <v/>
      </c>
      <c r="M24" s="25">
        <f>-(M23*Inputs!C36+(M23-M23*Inputs!C36)*Inputs!C37)</f>
        <v/>
      </c>
      <c r="N24" s="25">
        <f>-(N23*Inputs!C36+(N23-N23*Inputs!C36)*Inputs!C37)</f>
        <v/>
      </c>
      <c r="O24" s="25">
        <f>-(O23*Inputs!C36+(O23-O23*Inputs!C36)*Inputs!C37)</f>
        <v/>
      </c>
      <c r="P24" s="25">
        <f>-(P23*Inputs!C36+(P23-P23*Inputs!C36)*Inputs!C37)</f>
        <v/>
      </c>
      <c r="Q24" s="25">
        <f>-(Q23*Inputs!C36+(Q23-Q23*Inputs!C36)*Inputs!C37)</f>
        <v/>
      </c>
      <c r="R24" s="25">
        <f>-(R23*Inputs!C36+(R23-R23*Inputs!C36)*Inputs!C37)</f>
        <v/>
      </c>
      <c r="S24" s="25">
        <f>-(S23*Inputs!C36+(S23-S23*Inputs!C36)*Inputs!C37)</f>
        <v/>
      </c>
      <c r="T24" s="25">
        <f>-(T23*Inputs!C36+(T23-T23*Inputs!C36)*Inputs!C37)</f>
        <v/>
      </c>
      <c r="U24" s="25">
        <f>-(U23*Inputs!C36+(U23-U23*Inputs!C36)*Inputs!C37)</f>
        <v/>
      </c>
      <c r="V24" s="25">
        <f>-(V23*Inputs!C36+(V23-V23*Inputs!C36)*Inputs!C37)</f>
        <v/>
      </c>
      <c r="W24" s="25">
        <f>-(W23*Inputs!C36+(W23-W23*Inputs!C36)*Inputs!C37)</f>
        <v/>
      </c>
      <c r="X24" s="25">
        <f>-(X23*Inputs!C36+(X23-X23*Inputs!C36)*Inputs!C37)</f>
        <v/>
      </c>
      <c r="Y24" s="25">
        <f>-(Y23*Inputs!C36+(Y23-Y23*Inputs!C36)*Inputs!C37)</f>
        <v/>
      </c>
      <c r="Z24" s="25">
        <f>-(Z23*Inputs!C36+(Z23-Z23*Inputs!C36)*Inputs!C37)</f>
        <v/>
      </c>
    </row>
    <row r="26">
      <c r="A26" s="19" t="inlineStr">
        <is>
          <t>CASH FLOW &amp; WATERFALL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20" t="inlineStr">
        <is>
          <t>Net operating cash flow</t>
        </is>
      </c>
      <c r="B27" s="26">
        <f>B17+B18+B19+B24</f>
        <v/>
      </c>
      <c r="C27" s="26">
        <f>C17+C18+C19+C24</f>
        <v/>
      </c>
      <c r="D27" s="26">
        <f>D17+D18+D19+D24</f>
        <v/>
      </c>
      <c r="E27" s="26">
        <f>E17+E18+E19+E24</f>
        <v/>
      </c>
      <c r="F27" s="26">
        <f>F17+F18+F19+F24</f>
        <v/>
      </c>
      <c r="G27" s="26">
        <f>G17+G18+G19+G24</f>
        <v/>
      </c>
      <c r="H27" s="26">
        <f>H17+H18+H19+H24</f>
        <v/>
      </c>
      <c r="I27" s="26">
        <f>I17+I18+I19+I24</f>
        <v/>
      </c>
      <c r="J27" s="26">
        <f>J17+J18+J19+J24</f>
        <v/>
      </c>
      <c r="K27" s="26">
        <f>K17+K18+K19+K24</f>
        <v/>
      </c>
      <c r="L27" s="26">
        <f>L17+L18+L19+L24</f>
        <v/>
      </c>
      <c r="M27" s="26">
        <f>M17+M18+M19+M24</f>
        <v/>
      </c>
      <c r="N27" s="26">
        <f>N17+N18+N19+N24</f>
        <v/>
      </c>
      <c r="O27" s="26">
        <f>O17+O18+O19+O24</f>
        <v/>
      </c>
      <c r="P27" s="26">
        <f>P17+P18+P19+P24</f>
        <v/>
      </c>
      <c r="Q27" s="26">
        <f>Q17+Q18+Q19+Q24</f>
        <v/>
      </c>
      <c r="R27" s="26">
        <f>R17+R18+R19+R24</f>
        <v/>
      </c>
      <c r="S27" s="26">
        <f>S17+S18+S19+S24</f>
        <v/>
      </c>
      <c r="T27" s="26">
        <f>T17+T18+T19+T24</f>
        <v/>
      </c>
      <c r="U27" s="26">
        <f>U17+U18+U19+U24</f>
        <v/>
      </c>
      <c r="V27" s="26">
        <f>V17+V18+V19+V24</f>
        <v/>
      </c>
      <c r="W27" s="26">
        <f>W17+W18+W19+W24</f>
        <v/>
      </c>
      <c r="X27" s="26">
        <f>X17+X18+X19+X24</f>
        <v/>
      </c>
      <c r="Y27" s="26">
        <f>Y17+Y18+Y19+Y24</f>
        <v/>
      </c>
      <c r="Z27" s="26">
        <f>Z17+Z18+Z19+Z24</f>
        <v/>
      </c>
    </row>
    <row r="28">
      <c r="A28" s="20" t="inlineStr">
        <is>
          <t>Capital expenditure</t>
        </is>
      </c>
      <c r="B28" s="25">
        <f>-IF(B5=1,Inputs!C15*Inputs!C18,IF(B5=2,Inputs!C15*(1-Inputs!C18),0))</f>
        <v/>
      </c>
      <c r="C28" s="25">
        <f>-IF(C5=1,Inputs!C15*Inputs!C18,IF(C5=2,Inputs!C15*(1-Inputs!C18),0))</f>
        <v/>
      </c>
      <c r="D28" s="25">
        <f>-IF(D5=1,Inputs!C15*Inputs!C18,IF(D5=2,Inputs!C15*(1-Inputs!C18),0))</f>
        <v/>
      </c>
      <c r="E28" s="25">
        <f>-IF(E5=1,Inputs!C15*Inputs!C18,IF(E5=2,Inputs!C15*(1-Inputs!C18),0))</f>
        <v/>
      </c>
      <c r="F28" s="25">
        <f>-IF(F5=1,Inputs!C15*Inputs!C18,IF(F5=2,Inputs!C15*(1-Inputs!C18),0))</f>
        <v/>
      </c>
      <c r="G28" s="25">
        <f>-IF(G5=1,Inputs!C15*Inputs!C18,IF(G5=2,Inputs!C15*(1-Inputs!C18),0))</f>
        <v/>
      </c>
      <c r="H28" s="25">
        <f>-IF(H5=1,Inputs!C15*Inputs!C18,IF(H5=2,Inputs!C15*(1-Inputs!C18),0))</f>
        <v/>
      </c>
      <c r="I28" s="25">
        <f>-IF(I5=1,Inputs!C15*Inputs!C18,IF(I5=2,Inputs!C15*(1-Inputs!C18),0))</f>
        <v/>
      </c>
      <c r="J28" s="25">
        <f>-IF(J5=1,Inputs!C15*Inputs!C18,IF(J5=2,Inputs!C15*(1-Inputs!C18),0))</f>
        <v/>
      </c>
      <c r="K28" s="25">
        <f>-IF(K5=1,Inputs!C15*Inputs!C18,IF(K5=2,Inputs!C15*(1-Inputs!C18),0))</f>
        <v/>
      </c>
      <c r="L28" s="25">
        <f>-IF(L5=1,Inputs!C15*Inputs!C18,IF(L5=2,Inputs!C15*(1-Inputs!C18),0))</f>
        <v/>
      </c>
      <c r="M28" s="25">
        <f>-IF(M5=1,Inputs!C15*Inputs!C18,IF(M5=2,Inputs!C15*(1-Inputs!C18),0))</f>
        <v/>
      </c>
      <c r="N28" s="25">
        <f>-IF(N5=1,Inputs!C15*Inputs!C18,IF(N5=2,Inputs!C15*(1-Inputs!C18),0))</f>
        <v/>
      </c>
      <c r="O28" s="25">
        <f>-IF(O5=1,Inputs!C15*Inputs!C18,IF(O5=2,Inputs!C15*(1-Inputs!C18),0))</f>
        <v/>
      </c>
      <c r="P28" s="25">
        <f>-IF(P5=1,Inputs!C15*Inputs!C18,IF(P5=2,Inputs!C15*(1-Inputs!C18),0))</f>
        <v/>
      </c>
      <c r="Q28" s="25">
        <f>-IF(Q5=1,Inputs!C15*Inputs!C18,IF(Q5=2,Inputs!C15*(1-Inputs!C18),0))</f>
        <v/>
      </c>
      <c r="R28" s="25">
        <f>-IF(R5=1,Inputs!C15*Inputs!C18,IF(R5=2,Inputs!C15*(1-Inputs!C18),0))</f>
        <v/>
      </c>
      <c r="S28" s="25">
        <f>-IF(S5=1,Inputs!C15*Inputs!C18,IF(S5=2,Inputs!C15*(1-Inputs!C18),0))</f>
        <v/>
      </c>
      <c r="T28" s="25">
        <f>-IF(T5=1,Inputs!C15*Inputs!C18,IF(T5=2,Inputs!C15*(1-Inputs!C18),0))</f>
        <v/>
      </c>
      <c r="U28" s="25">
        <f>-IF(U5=1,Inputs!C15*Inputs!C18,IF(U5=2,Inputs!C15*(1-Inputs!C18),0))</f>
        <v/>
      </c>
      <c r="V28" s="25">
        <f>-IF(V5=1,Inputs!C15*Inputs!C18,IF(V5=2,Inputs!C15*(1-Inputs!C18),0))</f>
        <v/>
      </c>
      <c r="W28" s="25">
        <f>-IF(W5=1,Inputs!C15*Inputs!C18,IF(W5=2,Inputs!C15*(1-Inputs!C18),0))</f>
        <v/>
      </c>
      <c r="X28" s="25">
        <f>-IF(X5=1,Inputs!C15*Inputs!C18,IF(X5=2,Inputs!C15*(1-Inputs!C18),0))</f>
        <v/>
      </c>
      <c r="Y28" s="25">
        <f>-IF(Y5=1,Inputs!C15*Inputs!C18,IF(Y5=2,Inputs!C15*(1-Inputs!C18),0))</f>
        <v/>
      </c>
      <c r="Z28" s="25">
        <f>-IF(Z5=1,Inputs!C15*Inputs!C18,IF(Z5=2,Inputs!C15*(1-Inputs!C18),0))</f>
        <v/>
      </c>
    </row>
    <row r="29">
      <c r="A29" s="20" t="inlineStr">
        <is>
          <t>Project net cash flow</t>
        </is>
      </c>
      <c r="B29" s="26">
        <f>B27+B28</f>
        <v/>
      </c>
      <c r="C29" s="26">
        <f>C27+C28</f>
        <v/>
      </c>
      <c r="D29" s="26">
        <f>D27+D28</f>
        <v/>
      </c>
      <c r="E29" s="26">
        <f>E27+E28</f>
        <v/>
      </c>
      <c r="F29" s="26">
        <f>F27+F28</f>
        <v/>
      </c>
      <c r="G29" s="26">
        <f>G27+G28</f>
        <v/>
      </c>
      <c r="H29" s="26">
        <f>H27+H28</f>
        <v/>
      </c>
      <c r="I29" s="26">
        <f>I27+I28</f>
        <v/>
      </c>
      <c r="J29" s="26">
        <f>J27+J28</f>
        <v/>
      </c>
      <c r="K29" s="26">
        <f>K27+K28</f>
        <v/>
      </c>
      <c r="L29" s="26">
        <f>L27+L28</f>
        <v/>
      </c>
      <c r="M29" s="26">
        <f>M27+M28</f>
        <v/>
      </c>
      <c r="N29" s="26">
        <f>N27+N28</f>
        <v/>
      </c>
      <c r="O29" s="26">
        <f>O27+O28</f>
        <v/>
      </c>
      <c r="P29" s="26">
        <f>P27+P28</f>
        <v/>
      </c>
      <c r="Q29" s="26">
        <f>Q27+Q28</f>
        <v/>
      </c>
      <c r="R29" s="26">
        <f>R27+R28</f>
        <v/>
      </c>
      <c r="S29" s="26">
        <f>S27+S28</f>
        <v/>
      </c>
      <c r="T29" s="26">
        <f>T27+T28</f>
        <v/>
      </c>
      <c r="U29" s="26">
        <f>U27+U28</f>
        <v/>
      </c>
      <c r="V29" s="26">
        <f>V27+V28</f>
        <v/>
      </c>
      <c r="W29" s="26">
        <f>W27+W28</f>
        <v/>
      </c>
      <c r="X29" s="26">
        <f>X27+X28</f>
        <v/>
      </c>
      <c r="Y29" s="26">
        <f>Y27+Y28</f>
        <v/>
      </c>
      <c r="Z29" s="26">
        <f>Z27+Z28</f>
        <v/>
      </c>
    </row>
    <row r="31">
      <c r="A31" s="20" t="inlineStr">
        <is>
          <t>Cumulative capital recovered (investor)</t>
        </is>
      </c>
      <c r="B31" s="25">
        <f>0+B33</f>
        <v/>
      </c>
      <c r="C31" s="25">
        <f>B31+C33</f>
        <v/>
      </c>
      <c r="D31" s="25">
        <f>C31+D33</f>
        <v/>
      </c>
      <c r="E31" s="25">
        <f>D31+E33</f>
        <v/>
      </c>
      <c r="F31" s="25">
        <f>E31+F33</f>
        <v/>
      </c>
      <c r="G31" s="25">
        <f>F31+G33</f>
        <v/>
      </c>
      <c r="H31" s="25">
        <f>G31+H33</f>
        <v/>
      </c>
      <c r="I31" s="25">
        <f>H31+I33</f>
        <v/>
      </c>
      <c r="J31" s="25">
        <f>I31+J33</f>
        <v/>
      </c>
      <c r="K31" s="25">
        <f>J31+K33</f>
        <v/>
      </c>
      <c r="L31" s="25">
        <f>K31+L33</f>
        <v/>
      </c>
      <c r="M31" s="25">
        <f>L31+M33</f>
        <v/>
      </c>
      <c r="N31" s="25">
        <f>M31+N33</f>
        <v/>
      </c>
      <c r="O31" s="25">
        <f>N31+O33</f>
        <v/>
      </c>
      <c r="P31" s="25">
        <f>O31+P33</f>
        <v/>
      </c>
      <c r="Q31" s="25">
        <f>P31+Q33</f>
        <v/>
      </c>
      <c r="R31" s="25">
        <f>Q31+R33</f>
        <v/>
      </c>
      <c r="S31" s="25">
        <f>R31+S33</f>
        <v/>
      </c>
      <c r="T31" s="25">
        <f>S31+T33</f>
        <v/>
      </c>
      <c r="U31" s="25">
        <f>T31+U33</f>
        <v/>
      </c>
      <c r="V31" s="25">
        <f>U31+V33</f>
        <v/>
      </c>
      <c r="W31" s="25">
        <f>V31+W33</f>
        <v/>
      </c>
      <c r="X31" s="25">
        <f>W31+X33</f>
        <v/>
      </c>
      <c r="Y31" s="25">
        <f>X31+Y33</f>
        <v/>
      </c>
      <c r="Z31" s="25">
        <f>Y31+Z33</f>
        <v/>
      </c>
    </row>
    <row r="32">
      <c r="A32" s="20" t="inlineStr">
        <is>
          <t>Gross cash in recovery mode</t>
        </is>
      </c>
      <c r="B32" s="25">
        <f>MAX(0,MIN(B27,MAX(0,Inputs!C15-0)/Inputs!C41))</f>
        <v/>
      </c>
      <c r="C32" s="25">
        <f>MAX(0,MIN(C27,MAX(0,Inputs!C15-B31)/Inputs!C41))</f>
        <v/>
      </c>
      <c r="D32" s="25">
        <f>MAX(0,MIN(D27,MAX(0,Inputs!C15-C31)/Inputs!C41))</f>
        <v/>
      </c>
      <c r="E32" s="25">
        <f>MAX(0,MIN(E27,MAX(0,Inputs!C15-D31)/Inputs!C41))</f>
        <v/>
      </c>
      <c r="F32" s="25">
        <f>MAX(0,MIN(F27,MAX(0,Inputs!C15-E31)/Inputs!C41))</f>
        <v/>
      </c>
      <c r="G32" s="25">
        <f>MAX(0,MIN(G27,MAX(0,Inputs!C15-F31)/Inputs!C41))</f>
        <v/>
      </c>
      <c r="H32" s="25">
        <f>MAX(0,MIN(H27,MAX(0,Inputs!C15-G31)/Inputs!C41))</f>
        <v/>
      </c>
      <c r="I32" s="25">
        <f>MAX(0,MIN(I27,MAX(0,Inputs!C15-H31)/Inputs!C41))</f>
        <v/>
      </c>
      <c r="J32" s="25">
        <f>MAX(0,MIN(J27,MAX(0,Inputs!C15-I31)/Inputs!C41))</f>
        <v/>
      </c>
      <c r="K32" s="25">
        <f>MAX(0,MIN(K27,MAX(0,Inputs!C15-J31)/Inputs!C41))</f>
        <v/>
      </c>
      <c r="L32" s="25">
        <f>MAX(0,MIN(L27,MAX(0,Inputs!C15-K31)/Inputs!C41))</f>
        <v/>
      </c>
      <c r="M32" s="25">
        <f>MAX(0,MIN(M27,MAX(0,Inputs!C15-L31)/Inputs!C41))</f>
        <v/>
      </c>
      <c r="N32" s="25">
        <f>MAX(0,MIN(N27,MAX(0,Inputs!C15-M31)/Inputs!C41))</f>
        <v/>
      </c>
      <c r="O32" s="25">
        <f>MAX(0,MIN(O27,MAX(0,Inputs!C15-N31)/Inputs!C41))</f>
        <v/>
      </c>
      <c r="P32" s="25">
        <f>MAX(0,MIN(P27,MAX(0,Inputs!C15-O31)/Inputs!C41))</f>
        <v/>
      </c>
      <c r="Q32" s="25">
        <f>MAX(0,MIN(Q27,MAX(0,Inputs!C15-P31)/Inputs!C41))</f>
        <v/>
      </c>
      <c r="R32" s="25">
        <f>MAX(0,MIN(R27,MAX(0,Inputs!C15-Q31)/Inputs!C41))</f>
        <v/>
      </c>
      <c r="S32" s="25">
        <f>MAX(0,MIN(S27,MAX(0,Inputs!C15-R31)/Inputs!C41))</f>
        <v/>
      </c>
      <c r="T32" s="25">
        <f>MAX(0,MIN(T27,MAX(0,Inputs!C15-S31)/Inputs!C41))</f>
        <v/>
      </c>
      <c r="U32" s="25">
        <f>MAX(0,MIN(U27,MAX(0,Inputs!C15-T31)/Inputs!C41))</f>
        <v/>
      </c>
      <c r="V32" s="25">
        <f>MAX(0,MIN(V27,MAX(0,Inputs!C15-U31)/Inputs!C41))</f>
        <v/>
      </c>
      <c r="W32" s="25">
        <f>MAX(0,MIN(W27,MAX(0,Inputs!C15-V31)/Inputs!C41))</f>
        <v/>
      </c>
      <c r="X32" s="25">
        <f>MAX(0,MIN(X27,MAX(0,Inputs!C15-W31)/Inputs!C41))</f>
        <v/>
      </c>
      <c r="Y32" s="25">
        <f>MAX(0,MIN(Y27,MAX(0,Inputs!C15-X31)/Inputs!C41))</f>
        <v/>
      </c>
      <c r="Z32" s="25">
        <f>MAX(0,MIN(Z27,MAX(0,Inputs!C15-Y31)/Inputs!C41))</f>
        <v/>
      </c>
    </row>
    <row r="33">
      <c r="A33" s="27" t="inlineStr">
        <is>
          <t xml:space="preserve">  → to investor (capital recovery)</t>
        </is>
      </c>
      <c r="B33" s="25">
        <f>B32*Inputs!C41</f>
        <v/>
      </c>
      <c r="C33" s="25">
        <f>C32*Inputs!C41</f>
        <v/>
      </c>
      <c r="D33" s="25">
        <f>D32*Inputs!C41</f>
        <v/>
      </c>
      <c r="E33" s="25">
        <f>E32*Inputs!C41</f>
        <v/>
      </c>
      <c r="F33" s="25">
        <f>F32*Inputs!C41</f>
        <v/>
      </c>
      <c r="G33" s="25">
        <f>G32*Inputs!C41</f>
        <v/>
      </c>
      <c r="H33" s="25">
        <f>H32*Inputs!C41</f>
        <v/>
      </c>
      <c r="I33" s="25">
        <f>I32*Inputs!C41</f>
        <v/>
      </c>
      <c r="J33" s="25">
        <f>J32*Inputs!C41</f>
        <v/>
      </c>
      <c r="K33" s="25">
        <f>K32*Inputs!C41</f>
        <v/>
      </c>
      <c r="L33" s="25">
        <f>L32*Inputs!C41</f>
        <v/>
      </c>
      <c r="M33" s="25">
        <f>M32*Inputs!C41</f>
        <v/>
      </c>
      <c r="N33" s="25">
        <f>N32*Inputs!C41</f>
        <v/>
      </c>
      <c r="O33" s="25">
        <f>O32*Inputs!C41</f>
        <v/>
      </c>
      <c r="P33" s="25">
        <f>P32*Inputs!C41</f>
        <v/>
      </c>
      <c r="Q33" s="25">
        <f>Q32*Inputs!C41</f>
        <v/>
      </c>
      <c r="R33" s="25">
        <f>R32*Inputs!C41</f>
        <v/>
      </c>
      <c r="S33" s="25">
        <f>S32*Inputs!C41</f>
        <v/>
      </c>
      <c r="T33" s="25">
        <f>T32*Inputs!C41</f>
        <v/>
      </c>
      <c r="U33" s="25">
        <f>U32*Inputs!C41</f>
        <v/>
      </c>
      <c r="V33" s="25">
        <f>V32*Inputs!C41</f>
        <v/>
      </c>
      <c r="W33" s="25">
        <f>W32*Inputs!C41</f>
        <v/>
      </c>
      <c r="X33" s="25">
        <f>X32*Inputs!C41</f>
        <v/>
      </c>
      <c r="Y33" s="25">
        <f>Y32*Inputs!C41</f>
        <v/>
      </c>
      <c r="Z33" s="25">
        <f>Z32*Inputs!C41</f>
        <v/>
      </c>
    </row>
    <row r="34">
      <c r="A34" s="27" t="inlineStr">
        <is>
          <t xml:space="preserve">  → to Onterra (incentive)</t>
        </is>
      </c>
      <c r="B34" s="25">
        <f>B32*Inputs!C42</f>
        <v/>
      </c>
      <c r="C34" s="25">
        <f>C32*Inputs!C42</f>
        <v/>
      </c>
      <c r="D34" s="25">
        <f>D32*Inputs!C42</f>
        <v/>
      </c>
      <c r="E34" s="25">
        <f>E32*Inputs!C42</f>
        <v/>
      </c>
      <c r="F34" s="25">
        <f>F32*Inputs!C42</f>
        <v/>
      </c>
      <c r="G34" s="25">
        <f>G32*Inputs!C42</f>
        <v/>
      </c>
      <c r="H34" s="25">
        <f>H32*Inputs!C42</f>
        <v/>
      </c>
      <c r="I34" s="25">
        <f>I32*Inputs!C42</f>
        <v/>
      </c>
      <c r="J34" s="25">
        <f>J32*Inputs!C42</f>
        <v/>
      </c>
      <c r="K34" s="25">
        <f>K32*Inputs!C42</f>
        <v/>
      </c>
      <c r="L34" s="25">
        <f>L32*Inputs!C42</f>
        <v/>
      </c>
      <c r="M34" s="25">
        <f>M32*Inputs!C42</f>
        <v/>
      </c>
      <c r="N34" s="25">
        <f>N32*Inputs!C42</f>
        <v/>
      </c>
      <c r="O34" s="25">
        <f>O32*Inputs!C42</f>
        <v/>
      </c>
      <c r="P34" s="25">
        <f>P32*Inputs!C42</f>
        <v/>
      </c>
      <c r="Q34" s="25">
        <f>Q32*Inputs!C42</f>
        <v/>
      </c>
      <c r="R34" s="25">
        <f>R32*Inputs!C42</f>
        <v/>
      </c>
      <c r="S34" s="25">
        <f>S32*Inputs!C42</f>
        <v/>
      </c>
      <c r="T34" s="25">
        <f>T32*Inputs!C42</f>
        <v/>
      </c>
      <c r="U34" s="25">
        <f>U32*Inputs!C42</f>
        <v/>
      </c>
      <c r="V34" s="25">
        <f>V32*Inputs!C42</f>
        <v/>
      </c>
      <c r="W34" s="25">
        <f>W32*Inputs!C42</f>
        <v/>
      </c>
      <c r="X34" s="25">
        <f>X32*Inputs!C42</f>
        <v/>
      </c>
      <c r="Y34" s="25">
        <f>Y32*Inputs!C42</f>
        <v/>
      </c>
      <c r="Z34" s="25">
        <f>Z32*Inputs!C42</f>
        <v/>
      </c>
    </row>
    <row r="35">
      <c r="A35" s="20" t="inlineStr">
        <is>
          <t>Leftover cash (post-recovery)</t>
        </is>
      </c>
      <c r="B35" s="25">
        <f>MAX(0,B27-B32)</f>
        <v/>
      </c>
      <c r="C35" s="25">
        <f>MAX(0,C27-C32)</f>
        <v/>
      </c>
      <c r="D35" s="25">
        <f>MAX(0,D27-D32)</f>
        <v/>
      </c>
      <c r="E35" s="25">
        <f>MAX(0,E27-E32)</f>
        <v/>
      </c>
      <c r="F35" s="25">
        <f>MAX(0,F27-F32)</f>
        <v/>
      </c>
      <c r="G35" s="25">
        <f>MAX(0,G27-G32)</f>
        <v/>
      </c>
      <c r="H35" s="25">
        <f>MAX(0,H27-H32)</f>
        <v/>
      </c>
      <c r="I35" s="25">
        <f>MAX(0,I27-I32)</f>
        <v/>
      </c>
      <c r="J35" s="25">
        <f>MAX(0,J27-J32)</f>
        <v/>
      </c>
      <c r="K35" s="25">
        <f>MAX(0,K27-K32)</f>
        <v/>
      </c>
      <c r="L35" s="25">
        <f>MAX(0,L27-L32)</f>
        <v/>
      </c>
      <c r="M35" s="25">
        <f>MAX(0,M27-M32)</f>
        <v/>
      </c>
      <c r="N35" s="25">
        <f>MAX(0,N27-N32)</f>
        <v/>
      </c>
      <c r="O35" s="25">
        <f>MAX(0,O27-O32)</f>
        <v/>
      </c>
      <c r="P35" s="25">
        <f>MAX(0,P27-P32)</f>
        <v/>
      </c>
      <c r="Q35" s="25">
        <f>MAX(0,Q27-Q32)</f>
        <v/>
      </c>
      <c r="R35" s="25">
        <f>MAX(0,R27-R32)</f>
        <v/>
      </c>
      <c r="S35" s="25">
        <f>MAX(0,S27-S32)</f>
        <v/>
      </c>
      <c r="T35" s="25">
        <f>MAX(0,T27-T32)</f>
        <v/>
      </c>
      <c r="U35" s="25">
        <f>MAX(0,U27-U32)</f>
        <v/>
      </c>
      <c r="V35" s="25">
        <f>MAX(0,V27-V32)</f>
        <v/>
      </c>
      <c r="W35" s="25">
        <f>MAX(0,W27-W32)</f>
        <v/>
      </c>
      <c r="X35" s="25">
        <f>MAX(0,X27-X32)</f>
        <v/>
      </c>
      <c r="Y35" s="25">
        <f>MAX(0,Y27-Y32)</f>
        <v/>
      </c>
      <c r="Z35" s="25">
        <f>MAX(0,Z27-Z32)</f>
        <v/>
      </c>
    </row>
    <row r="36">
      <c r="A36" s="27" t="inlineStr">
        <is>
          <t xml:space="preserve">  → to Onterra (promote)</t>
        </is>
      </c>
      <c r="B36" s="25">
        <f>B35*Inputs!C44</f>
        <v/>
      </c>
      <c r="C36" s="25">
        <f>C35*Inputs!C44</f>
        <v/>
      </c>
      <c r="D36" s="25">
        <f>D35*Inputs!C44</f>
        <v/>
      </c>
      <c r="E36" s="25">
        <f>E35*Inputs!C44</f>
        <v/>
      </c>
      <c r="F36" s="25">
        <f>F35*Inputs!C44</f>
        <v/>
      </c>
      <c r="G36" s="25">
        <f>G35*Inputs!C44</f>
        <v/>
      </c>
      <c r="H36" s="25">
        <f>H35*Inputs!C44</f>
        <v/>
      </c>
      <c r="I36" s="25">
        <f>I35*Inputs!C44</f>
        <v/>
      </c>
      <c r="J36" s="25">
        <f>J35*Inputs!C44</f>
        <v/>
      </c>
      <c r="K36" s="25">
        <f>K35*Inputs!C44</f>
        <v/>
      </c>
      <c r="L36" s="25">
        <f>L35*Inputs!C44</f>
        <v/>
      </c>
      <c r="M36" s="25">
        <f>M35*Inputs!C44</f>
        <v/>
      </c>
      <c r="N36" s="25">
        <f>N35*Inputs!C44</f>
        <v/>
      </c>
      <c r="O36" s="25">
        <f>O35*Inputs!C44</f>
        <v/>
      </c>
      <c r="P36" s="25">
        <f>P35*Inputs!C44</f>
        <v/>
      </c>
      <c r="Q36" s="25">
        <f>Q35*Inputs!C44</f>
        <v/>
      </c>
      <c r="R36" s="25">
        <f>R35*Inputs!C44</f>
        <v/>
      </c>
      <c r="S36" s="25">
        <f>S35*Inputs!C44</f>
        <v/>
      </c>
      <c r="T36" s="25">
        <f>T35*Inputs!C44</f>
        <v/>
      </c>
      <c r="U36" s="25">
        <f>U35*Inputs!C44</f>
        <v/>
      </c>
      <c r="V36" s="25">
        <f>V35*Inputs!C44</f>
        <v/>
      </c>
      <c r="W36" s="25">
        <f>W35*Inputs!C44</f>
        <v/>
      </c>
      <c r="X36" s="25">
        <f>X35*Inputs!C44</f>
        <v/>
      </c>
      <c r="Y36" s="25">
        <f>Y35*Inputs!C44</f>
        <v/>
      </c>
      <c r="Z36" s="25">
        <f>Z35*Inputs!C44</f>
        <v/>
      </c>
    </row>
    <row r="37">
      <c r="A37" s="27" t="inlineStr">
        <is>
          <t xml:space="preserve">  → to investor</t>
        </is>
      </c>
      <c r="B37" s="25">
        <f>B35*Inputs!C43</f>
        <v/>
      </c>
      <c r="C37" s="25">
        <f>C35*Inputs!C43</f>
        <v/>
      </c>
      <c r="D37" s="25">
        <f>D35*Inputs!C43</f>
        <v/>
      </c>
      <c r="E37" s="25">
        <f>E35*Inputs!C43</f>
        <v/>
      </c>
      <c r="F37" s="25">
        <f>F35*Inputs!C43</f>
        <v/>
      </c>
      <c r="G37" s="25">
        <f>G35*Inputs!C43</f>
        <v/>
      </c>
      <c r="H37" s="25">
        <f>H35*Inputs!C43</f>
        <v/>
      </c>
      <c r="I37" s="25">
        <f>I35*Inputs!C43</f>
        <v/>
      </c>
      <c r="J37" s="25">
        <f>J35*Inputs!C43</f>
        <v/>
      </c>
      <c r="K37" s="25">
        <f>K35*Inputs!C43</f>
        <v/>
      </c>
      <c r="L37" s="25">
        <f>L35*Inputs!C43</f>
        <v/>
      </c>
      <c r="M37" s="25">
        <f>M35*Inputs!C43</f>
        <v/>
      </c>
      <c r="N37" s="25">
        <f>N35*Inputs!C43</f>
        <v/>
      </c>
      <c r="O37" s="25">
        <f>O35*Inputs!C43</f>
        <v/>
      </c>
      <c r="P37" s="25">
        <f>P35*Inputs!C43</f>
        <v/>
      </c>
      <c r="Q37" s="25">
        <f>Q35*Inputs!C43</f>
        <v/>
      </c>
      <c r="R37" s="25">
        <f>R35*Inputs!C43</f>
        <v/>
      </c>
      <c r="S37" s="25">
        <f>S35*Inputs!C43</f>
        <v/>
      </c>
      <c r="T37" s="25">
        <f>T35*Inputs!C43</f>
        <v/>
      </c>
      <c r="U37" s="25">
        <f>U35*Inputs!C43</f>
        <v/>
      </c>
      <c r="V37" s="25">
        <f>V35*Inputs!C43</f>
        <v/>
      </c>
      <c r="W37" s="25">
        <f>W35*Inputs!C43</f>
        <v/>
      </c>
      <c r="X37" s="25">
        <f>X35*Inputs!C43</f>
        <v/>
      </c>
      <c r="Y37" s="25">
        <f>Y35*Inputs!C43</f>
        <v/>
      </c>
      <c r="Z37" s="25">
        <f>Z35*Inputs!C43</f>
        <v/>
      </c>
    </row>
    <row r="39">
      <c r="A39" s="19" t="inlineStr">
        <is>
          <t>INVESTOR &amp; OPERATOR CASH FLOWS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20" t="inlineStr">
        <is>
          <t>Investor net cash flow</t>
        </is>
      </c>
      <c r="B40" s="26">
        <f>B28+B33+B37</f>
        <v/>
      </c>
      <c r="C40" s="26">
        <f>C28+C33+C37</f>
        <v/>
      </c>
      <c r="D40" s="26">
        <f>D28+D33+D37</f>
        <v/>
      </c>
      <c r="E40" s="26">
        <f>E28+E33+E37</f>
        <v/>
      </c>
      <c r="F40" s="26">
        <f>F28+F33+F37</f>
        <v/>
      </c>
      <c r="G40" s="26">
        <f>G28+G33+G37</f>
        <v/>
      </c>
      <c r="H40" s="26">
        <f>H28+H33+H37</f>
        <v/>
      </c>
      <c r="I40" s="26">
        <f>I28+I33+I37</f>
        <v/>
      </c>
      <c r="J40" s="26">
        <f>J28+J33+J37</f>
        <v/>
      </c>
      <c r="K40" s="26">
        <f>K28+K33+K37</f>
        <v/>
      </c>
      <c r="L40" s="26">
        <f>L28+L33+L37</f>
        <v/>
      </c>
      <c r="M40" s="26">
        <f>M28+M33+M37</f>
        <v/>
      </c>
      <c r="N40" s="26">
        <f>N28+N33+N37</f>
        <v/>
      </c>
      <c r="O40" s="26">
        <f>O28+O33+O37</f>
        <v/>
      </c>
      <c r="P40" s="26">
        <f>P28+P33+P37</f>
        <v/>
      </c>
      <c r="Q40" s="26">
        <f>Q28+Q33+Q37</f>
        <v/>
      </c>
      <c r="R40" s="26">
        <f>R28+R33+R37</f>
        <v/>
      </c>
      <c r="S40" s="26">
        <f>S28+S33+S37</f>
        <v/>
      </c>
      <c r="T40" s="26">
        <f>T28+T33+T37</f>
        <v/>
      </c>
      <c r="U40" s="26">
        <f>U28+U33+U37</f>
        <v/>
      </c>
      <c r="V40" s="26">
        <f>V28+V33+V37</f>
        <v/>
      </c>
      <c r="W40" s="26">
        <f>W28+W33+W37</f>
        <v/>
      </c>
      <c r="X40" s="26">
        <f>X28+X33+X37</f>
        <v/>
      </c>
      <c r="Y40" s="26">
        <f>Y28+Y33+Y37</f>
        <v/>
      </c>
      <c r="Z40" s="26">
        <f>Z28+Z33+Z37</f>
        <v/>
      </c>
    </row>
    <row r="41">
      <c r="A41" s="20" t="inlineStr">
        <is>
          <t>Investor cumulative cash flow</t>
        </is>
      </c>
      <c r="B41" s="25">
        <f>0+B40</f>
        <v/>
      </c>
      <c r="C41" s="25">
        <f>B41+C40</f>
        <v/>
      </c>
      <c r="D41" s="25">
        <f>C41+D40</f>
        <v/>
      </c>
      <c r="E41" s="25">
        <f>D41+E40</f>
        <v/>
      </c>
      <c r="F41" s="25">
        <f>E41+F40</f>
        <v/>
      </c>
      <c r="G41" s="25">
        <f>F41+G40</f>
        <v/>
      </c>
      <c r="H41" s="25">
        <f>G41+H40</f>
        <v/>
      </c>
      <c r="I41" s="25">
        <f>H41+I40</f>
        <v/>
      </c>
      <c r="J41" s="25">
        <f>I41+J40</f>
        <v/>
      </c>
      <c r="K41" s="25">
        <f>J41+K40</f>
        <v/>
      </c>
      <c r="L41" s="25">
        <f>K41+L40</f>
        <v/>
      </c>
      <c r="M41" s="25">
        <f>L41+M40</f>
        <v/>
      </c>
      <c r="N41" s="25">
        <f>M41+N40</f>
        <v/>
      </c>
      <c r="O41" s="25">
        <f>N41+O40</f>
        <v/>
      </c>
      <c r="P41" s="25">
        <f>O41+P40</f>
        <v/>
      </c>
      <c r="Q41" s="25">
        <f>P41+Q40</f>
        <v/>
      </c>
      <c r="R41" s="25">
        <f>Q41+R40</f>
        <v/>
      </c>
      <c r="S41" s="25">
        <f>R41+S40</f>
        <v/>
      </c>
      <c r="T41" s="25">
        <f>S41+T40</f>
        <v/>
      </c>
      <c r="U41" s="25">
        <f>T41+U40</f>
        <v/>
      </c>
      <c r="V41" s="25">
        <f>U41+V40</f>
        <v/>
      </c>
      <c r="W41" s="25">
        <f>V41+W40</f>
        <v/>
      </c>
      <c r="X41" s="25">
        <f>W41+X40</f>
        <v/>
      </c>
      <c r="Y41" s="25">
        <f>X41+Y40</f>
        <v/>
      </c>
      <c r="Z41" s="25">
        <f>Y41+Z40</f>
        <v/>
      </c>
    </row>
    <row r="42">
      <c r="A42" s="20" t="inlineStr">
        <is>
          <t>Onterra net cash flow (carry/promote)</t>
        </is>
      </c>
      <c r="B42" s="26">
        <f>B34+B36</f>
        <v/>
      </c>
      <c r="C42" s="26">
        <f>C34+C36</f>
        <v/>
      </c>
      <c r="D42" s="26">
        <f>D34+D36</f>
        <v/>
      </c>
      <c r="E42" s="26">
        <f>E34+E36</f>
        <v/>
      </c>
      <c r="F42" s="26">
        <f>F34+F36</f>
        <v/>
      </c>
      <c r="G42" s="26">
        <f>G34+G36</f>
        <v/>
      </c>
      <c r="H42" s="26">
        <f>H34+H36</f>
        <v/>
      </c>
      <c r="I42" s="26">
        <f>I34+I36</f>
        <v/>
      </c>
      <c r="J42" s="26">
        <f>J34+J36</f>
        <v/>
      </c>
      <c r="K42" s="26">
        <f>K34+K36</f>
        <v/>
      </c>
      <c r="L42" s="26">
        <f>L34+L36</f>
        <v/>
      </c>
      <c r="M42" s="26">
        <f>M34+M36</f>
        <v/>
      </c>
      <c r="N42" s="26">
        <f>N34+N36</f>
        <v/>
      </c>
      <c r="O42" s="26">
        <f>O34+O36</f>
        <v/>
      </c>
      <c r="P42" s="26">
        <f>P34+P36</f>
        <v/>
      </c>
      <c r="Q42" s="26">
        <f>Q34+Q36</f>
        <v/>
      </c>
      <c r="R42" s="26">
        <f>R34+R36</f>
        <v/>
      </c>
      <c r="S42" s="26">
        <f>S34+S36</f>
        <v/>
      </c>
      <c r="T42" s="26">
        <f>T34+T36</f>
        <v/>
      </c>
      <c r="U42" s="26">
        <f>U34+U36</f>
        <v/>
      </c>
      <c r="V42" s="26">
        <f>V34+V36</f>
        <v/>
      </c>
      <c r="W42" s="26">
        <f>W34+W36</f>
        <v/>
      </c>
      <c r="X42" s="26">
        <f>X34+X36</f>
        <v/>
      </c>
      <c r="Y42" s="26">
        <f>Y34+Y36</f>
        <v/>
      </c>
      <c r="Z42" s="26">
        <f>Z34+Z36</f>
        <v/>
      </c>
    </row>
    <row r="43">
      <c r="A43" s="20" t="inlineStr">
        <is>
          <t>Discount factor</t>
        </is>
      </c>
      <c r="B43" s="28">
        <f>1/(1+Inputs!C31)^B5</f>
        <v/>
      </c>
      <c r="C43" s="28">
        <f>1/(1+Inputs!C31)^C5</f>
        <v/>
      </c>
      <c r="D43" s="28">
        <f>1/(1+Inputs!C31)^D5</f>
        <v/>
      </c>
      <c r="E43" s="28">
        <f>1/(1+Inputs!C31)^E5</f>
        <v/>
      </c>
      <c r="F43" s="28">
        <f>1/(1+Inputs!C31)^F5</f>
        <v/>
      </c>
      <c r="G43" s="28">
        <f>1/(1+Inputs!C31)^G5</f>
        <v/>
      </c>
      <c r="H43" s="28">
        <f>1/(1+Inputs!C31)^H5</f>
        <v/>
      </c>
      <c r="I43" s="28">
        <f>1/(1+Inputs!C31)^I5</f>
        <v/>
      </c>
      <c r="J43" s="28">
        <f>1/(1+Inputs!C31)^J5</f>
        <v/>
      </c>
      <c r="K43" s="28">
        <f>1/(1+Inputs!C31)^K5</f>
        <v/>
      </c>
      <c r="L43" s="28">
        <f>1/(1+Inputs!C31)^L5</f>
        <v/>
      </c>
      <c r="M43" s="28">
        <f>1/(1+Inputs!C31)^M5</f>
        <v/>
      </c>
      <c r="N43" s="28">
        <f>1/(1+Inputs!C31)^N5</f>
        <v/>
      </c>
      <c r="O43" s="28">
        <f>1/(1+Inputs!C31)^O5</f>
        <v/>
      </c>
      <c r="P43" s="28">
        <f>1/(1+Inputs!C31)^P5</f>
        <v/>
      </c>
      <c r="Q43" s="28">
        <f>1/(1+Inputs!C31)^Q5</f>
        <v/>
      </c>
      <c r="R43" s="28">
        <f>1/(1+Inputs!C31)^R5</f>
        <v/>
      </c>
      <c r="S43" s="28">
        <f>1/(1+Inputs!C31)^S5</f>
        <v/>
      </c>
      <c r="T43" s="28">
        <f>1/(1+Inputs!C31)^T5</f>
        <v/>
      </c>
      <c r="U43" s="28">
        <f>1/(1+Inputs!C31)^U5</f>
        <v/>
      </c>
      <c r="V43" s="28">
        <f>1/(1+Inputs!C31)^V5</f>
        <v/>
      </c>
      <c r="W43" s="28">
        <f>1/(1+Inputs!C31)^W5</f>
        <v/>
      </c>
      <c r="X43" s="28">
        <f>1/(1+Inputs!C31)^X5</f>
        <v/>
      </c>
      <c r="Y43" s="28">
        <f>1/(1+Inputs!C31)^Y5</f>
        <v/>
      </c>
      <c r="Z43" s="28">
        <f>1/(1+Inputs!C31)^Z5</f>
        <v/>
      </c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44" customWidth="1" min="4" max="4"/>
  </cols>
  <sheetData>
    <row r="2" ht="30" customHeight="1">
      <c r="B2" s="1" t="inlineStr">
        <is>
          <t>RETURNS SUMMARY  (base case)</t>
        </is>
      </c>
      <c r="C2" s="2" t="n"/>
      <c r="D2" s="2" t="n"/>
      <c r="E2" s="2" t="n"/>
    </row>
    <row r="3" ht="16" customHeight="1">
      <c r="B3" s="3" t="inlineStr">
        <is>
          <t>Key outputs — all driven by the Inputs sheet</t>
        </is>
      </c>
      <c r="C3" s="4" t="n"/>
      <c r="D3" s="4" t="n"/>
      <c r="E3" s="4" t="n"/>
    </row>
    <row r="5" ht="20" customHeight="1">
      <c r="B5" s="5" t="inlineStr">
        <is>
          <t>PROJECT ECONOMICS</t>
        </is>
      </c>
      <c r="C5" s="6" t="n"/>
      <c r="D5" s="6" t="n"/>
      <c r="E5" s="6" t="n"/>
    </row>
    <row r="6">
      <c r="B6" s="7" t="inlineStr">
        <is>
          <t>Total capital to first oil ($m)</t>
        </is>
      </c>
      <c r="C6" s="29">
        <f>-SUM(Model!B28:Z28)</f>
        <v/>
      </c>
      <c r="D6" s="9" t="inlineStr">
        <is>
          <t>Investor-funded</t>
        </is>
      </c>
    </row>
    <row r="7">
      <c r="B7" s="7" t="inlineStr">
        <is>
          <t>Total gross revenue ($m)</t>
        </is>
      </c>
      <c r="C7" s="30">
        <f>SUM(Model!B12:Z12)</f>
        <v/>
      </c>
      <c r="D7" s="9" t="inlineStr">
        <is>
          <t>Field life</t>
        </is>
      </c>
    </row>
    <row r="8">
      <c r="B8" s="7" t="inlineStr">
        <is>
          <t>Total royalties + tax ($m)</t>
        </is>
      </c>
      <c r="C8" s="30">
        <f>-SUM(Model!B15:Z15)-SUM(Model!B16:Z16)-SUM(Model!B24:Z24)</f>
        <v/>
      </c>
      <c r="D8" s="9" t="inlineStr">
        <is>
          <t>Government take</t>
        </is>
      </c>
    </row>
    <row r="9">
      <c r="B9" s="7" t="inlineStr">
        <is>
          <t>Government take (% of revenue)</t>
        </is>
      </c>
      <c r="C9" s="31">
        <f>(-SUM(Model!B15:Z15)-SUM(Model!B16:Z16)-SUM(Model!B24:Z24))/SUM(Model!B12:Z12)</f>
        <v/>
      </c>
    </row>
    <row r="10">
      <c r="B10" s="7" t="inlineStr">
        <is>
          <t>Total net operating cash ($m)</t>
        </is>
      </c>
      <c r="C10" s="30">
        <f>SUM(Model!B27:Z27)</f>
        <v/>
      </c>
    </row>
    <row r="11">
      <c r="B11" s="7" t="inlineStr">
        <is>
          <t>Lifetime production (mmbbl)</t>
        </is>
      </c>
      <c r="C11" s="32">
        <f>SUM(Model!B10:Z10)</f>
        <v/>
      </c>
    </row>
    <row r="12">
      <c r="B12" s="7" t="inlineStr">
        <is>
          <t>Average production (bopd)</t>
        </is>
      </c>
      <c r="C12" s="33">
        <f>SUM(Model!B10:Z10)*1000000/Inputs!C25/Inputs!C24</f>
        <v/>
      </c>
      <c r="D12" s="9" t="inlineStr">
        <is>
          <t>Over field life</t>
        </is>
      </c>
    </row>
    <row r="14" ht="20" customHeight="1">
      <c r="B14" s="5" t="inlineStr">
        <is>
          <t>INVESTOR RETURNS</t>
        </is>
      </c>
      <c r="C14" s="6" t="n"/>
      <c r="D14" s="6" t="n"/>
      <c r="E14" s="6" t="n"/>
    </row>
    <row r="15">
      <c r="B15" s="7" t="inlineStr">
        <is>
          <t>Capital invested ($m)</t>
        </is>
      </c>
      <c r="C15" s="29">
        <f>-SUM(Model!B28:Z28)</f>
        <v/>
      </c>
    </row>
    <row r="16">
      <c r="B16" s="7" t="inlineStr">
        <is>
          <t>Total cash returned to investor ($m)</t>
        </is>
      </c>
      <c r="C16" s="30">
        <f>SUM(Model!B33:Z33)+SUM(Model!B37:Z37)</f>
        <v/>
      </c>
    </row>
    <row r="17">
      <c r="B17" s="7" t="inlineStr">
        <is>
          <t>Net profit to investor ($m)</t>
        </is>
      </c>
      <c r="C17" s="30">
        <f>SUM(Model!B33:Z33)+SUM(Model!B37:Z37)+SUM(Model!B28:Z28)</f>
        <v/>
      </c>
    </row>
    <row r="18">
      <c r="B18" s="7" t="inlineStr">
        <is>
          <t>Money multiple (MOIC)</t>
        </is>
      </c>
      <c r="C18" s="34">
        <f>(SUM(Model!B33:Z33)+SUM(Model!B37:Z37))/(-SUM(Model!B28:Z28))</f>
        <v/>
      </c>
    </row>
    <row r="19">
      <c r="B19" s="7" t="inlineStr">
        <is>
          <t>Investor NPV @ discount rate ($m)</t>
        </is>
      </c>
      <c r="C19" s="30">
        <f>SUMPRODUCT(Model!B40:Z40,Model!B43:Z43)</f>
        <v/>
      </c>
    </row>
    <row r="20">
      <c r="B20" s="7" t="inlineStr">
        <is>
          <t>Investor IRR</t>
        </is>
      </c>
      <c r="C20" s="31">
        <f>IRR(Model!B40:Z40)</f>
        <v/>
      </c>
      <c r="D20" s="9" t="inlineStr">
        <is>
          <t>May show error if cash flows all positive</t>
        </is>
      </c>
    </row>
    <row r="21">
      <c r="B21" s="7" t="inlineStr">
        <is>
          <t>Payback / cost recovery (yrs from first oil)</t>
        </is>
      </c>
      <c r="C21" s="32">
        <f>COUNTIF(Model!B41:Z41,"&lt;0")-Inputs!C19+1</f>
        <v/>
      </c>
      <c r="D21" s="9" t="inlineStr">
        <is>
          <t>Years of production to full recovery</t>
        </is>
      </c>
    </row>
    <row r="23" ht="20" customHeight="1">
      <c r="B23" s="5" t="inlineStr">
        <is>
          <t>ONTERRA (OPERATOR) ECONOMICS</t>
        </is>
      </c>
      <c r="C23" s="6" t="n"/>
      <c r="D23" s="6" t="n"/>
      <c r="E23" s="6" t="n"/>
    </row>
    <row r="24">
      <c r="B24" s="7" t="inlineStr">
        <is>
          <t>Total cash to Onterra ($m)</t>
        </is>
      </c>
      <c r="C24" s="30">
        <f>SUM(Model!B34:Z34)+SUM(Model!B36:Z36)</f>
        <v/>
      </c>
      <c r="D24" s="9" t="inlineStr">
        <is>
          <t>No capital at risk (operator promote)</t>
        </is>
      </c>
    </row>
    <row r="25">
      <c r="B25" s="7" t="inlineStr">
        <is>
          <t>Onterra NPV @ discount rate ($m)</t>
        </is>
      </c>
      <c r="C25" s="30">
        <f>SUMPRODUCT(Model!B42:Z42,Model!B43:Z43)</f>
        <v/>
      </c>
    </row>
    <row r="27" ht="20" customHeight="1">
      <c r="B27" s="5" t="inlineStr">
        <is>
          <t>UPSIDE LEVER · ADDITIONAL WELLS</t>
        </is>
      </c>
      <c r="C27" s="6" t="n"/>
      <c r="D27" s="6" t="n"/>
      <c r="E27" s="6" t="n"/>
    </row>
    <row r="28">
      <c r="B28" s="35" t="inlineStr">
        <is>
          <t>This base case assumes a single well. Each additional development well (~$7m onshore to ~$15m offshore) adds production, extends plateau and materially improves field economics. A 3-4 well programme to drain the field optimally is modelled in a client-specific deep-dive on request.</t>
        </is>
      </c>
    </row>
    <row r="29"/>
    <row r="30"/>
    <row r="31">
      <c r="B31" s="36" t="inlineStr">
        <is>
          <t>Indicative model for discussion only. PIA 2021 fiscal terms are simplified and must be confirmed with a Nigerian petroleum tax adviser. Not investment advice. All blue cells on the Inputs sheet are editable; the model recalculates automatically.</t>
        </is>
      </c>
    </row>
    <row r="32"/>
    <row r="33"/>
    <row r="34"/>
  </sheetData>
  <mergeCells count="8">
    <mergeCell ref="B23:E23"/>
    <mergeCell ref="B27:E27"/>
    <mergeCell ref="B28:D30"/>
    <mergeCell ref="B31:D34"/>
    <mergeCell ref="B3:E3"/>
    <mergeCell ref="B5:E5"/>
    <mergeCell ref="B2:E2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 ht="30" customHeight="1">
      <c r="B2" s="1" t="inlineStr">
        <is>
          <t>OIL PRICE SENSITIVITY (indicative)</t>
        </is>
      </c>
      <c r="C2" s="2" t="n"/>
      <c r="D2" s="2" t="n"/>
      <c r="E2" s="2" t="n"/>
    </row>
    <row r="3" ht="16" customHeight="1">
      <c r="B3" s="3" t="inlineStr">
        <is>
          <t>Project-level economics scaled by realised price. For exact figures, change the price input on Inputs.</t>
        </is>
      </c>
      <c r="C3" s="4" t="n"/>
      <c r="D3" s="4" t="n"/>
      <c r="E3" s="4" t="n"/>
    </row>
    <row r="5">
      <c r="B5" s="11" t="inlineStr">
        <is>
          <t>Oil price ($/bbl)</t>
        </is>
      </c>
      <c r="C5" s="37" t="n">
        <v>50</v>
      </c>
      <c r="D5" s="37" t="n">
        <v>60</v>
      </c>
      <c r="E5" s="37" t="n">
        <v>75</v>
      </c>
      <c r="F5" s="37" t="n">
        <v>90</v>
      </c>
      <c r="G5" s="37" t="n">
        <v>100</v>
      </c>
    </row>
    <row r="6">
      <c r="B6" s="7" t="inlineStr">
        <is>
          <t>Gross revenue ($m)</t>
        </is>
      </c>
      <c r="C6" s="38">
        <f>SUM(Model!B10:Z10)*C5</f>
        <v/>
      </c>
      <c r="D6" s="38">
        <f>SUM(Model!B10:Z10)*D5</f>
        <v/>
      </c>
      <c r="E6" s="38">
        <f>SUM(Model!B10:Z10)*E5</f>
        <v/>
      </c>
      <c r="F6" s="38">
        <f>SUM(Model!B10:Z10)*F5</f>
        <v/>
      </c>
      <c r="G6" s="38">
        <f>SUM(Model!B10:Z10)*G5</f>
        <v/>
      </c>
    </row>
    <row r="7">
      <c r="B7" s="7" t="inlineStr">
        <is>
          <t>Net cash (approx, $m)</t>
        </is>
      </c>
      <c r="C7" s="38">
        <f>(C6*(1-Inputs!C34-Inputs!C35))-(SUM(Model!B10:Z10)*Inputs!C29+Inputs!C30*Inputs!C25)-MAX(0,(C6*(1-Inputs!C34-Inputs!C35)-(SUM(Model!B10:Z10)*Inputs!C29+Inputs!C30*Inputs!C25)-Inputs!C15))*(Inputs!C36+(1-Inputs!C36)*Inputs!C37)</f>
        <v/>
      </c>
      <c r="D7" s="38">
        <f>(D6*(1-Inputs!C34-Inputs!C35))-(SUM(Model!B10:Z10)*Inputs!C29+Inputs!C30*Inputs!C25)-MAX(0,(D6*(1-Inputs!C34-Inputs!C35)-(SUM(Model!B10:Z10)*Inputs!C29+Inputs!C30*Inputs!C25)-Inputs!C15))*(Inputs!C36+(1-Inputs!C36)*Inputs!C37)</f>
        <v/>
      </c>
      <c r="E7" s="38">
        <f>(E6*(1-Inputs!C34-Inputs!C35))-(SUM(Model!B10:Z10)*Inputs!C29+Inputs!C30*Inputs!C25)-MAX(0,(E6*(1-Inputs!C34-Inputs!C35)-(SUM(Model!B10:Z10)*Inputs!C29+Inputs!C30*Inputs!C25)-Inputs!C15))*(Inputs!C36+(1-Inputs!C36)*Inputs!C37)</f>
        <v/>
      </c>
      <c r="F7" s="38">
        <f>(F6*(1-Inputs!C34-Inputs!C35))-(SUM(Model!B10:Z10)*Inputs!C29+Inputs!C30*Inputs!C25)-MAX(0,(F6*(1-Inputs!C34-Inputs!C35)-(SUM(Model!B10:Z10)*Inputs!C29+Inputs!C30*Inputs!C25)-Inputs!C15))*(Inputs!C36+(1-Inputs!C36)*Inputs!C37)</f>
        <v/>
      </c>
      <c r="G7" s="38">
        <f>(G6*(1-Inputs!C34-Inputs!C35))-(SUM(Model!B10:Z10)*Inputs!C29+Inputs!C30*Inputs!C25)-MAX(0,(G6*(1-Inputs!C34-Inputs!C35)-(SUM(Model!B10:Z10)*Inputs!C29+Inputs!C30*Inputs!C25)-Inputs!C15))*(Inputs!C36+(1-Inputs!C36)*Inputs!C37)</f>
        <v/>
      </c>
    </row>
    <row r="8">
      <c r="B8" s="7" t="inlineStr">
        <is>
          <t>Net cash vs capital</t>
        </is>
      </c>
      <c r="C8" s="39">
        <f>C7/Inputs!C15</f>
        <v/>
      </c>
      <c r="D8" s="39">
        <f>D7/Inputs!C15</f>
        <v/>
      </c>
      <c r="E8" s="39">
        <f>E7/Inputs!C15</f>
        <v/>
      </c>
      <c r="F8" s="39">
        <f>F7/Inputs!C15</f>
        <v/>
      </c>
      <c r="G8" s="39">
        <f>G7/Inputs!C15</f>
        <v/>
      </c>
    </row>
    <row r="10">
      <c r="B10" s="36" t="inlineStr">
        <is>
          <t>Note: this sensitivity is indicative and linear. The dynamic model on the Model/Returns sheets gives the exact, fiscally-correct outcome — change the oil price on Inputs to test a case.</t>
        </is>
      </c>
    </row>
    <row r="11"/>
    <row r="12"/>
  </sheetData>
  <mergeCells count="3">
    <mergeCell ref="B3:E3"/>
    <mergeCell ref="B2:E2"/>
    <mergeCell ref="B10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2026-06-24T12:49:03Z</dcterms:created>
  <dcterms:modified xsi:type="dcterms:W3CDTF">2026-06-24T12:49:03Z</dcterms:modified>
</cp:coreProperties>
</file>